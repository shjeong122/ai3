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3\project\project2\project\"/>
    </mc:Choice>
  </mc:AlternateContent>
  <xr:revisionPtr revIDLastSave="0" documentId="13_ncr:1_{DF2776A1-FF1A-4094-9044-96E9BDCE50A8}" xr6:coauthVersionLast="47" xr6:coauthVersionMax="47" xr10:uidLastSave="{00000000-0000-0000-0000-000000000000}"/>
  <bookViews>
    <workbookView xWindow="33225" yWindow="60" windowWidth="21285" windowHeight="15000" activeTab="5" xr2:uid="{00000000-000D-0000-FFFF-FFFF00000000}"/>
  </bookViews>
  <sheets>
    <sheet name="data" sheetId="1" r:id="rId1"/>
    <sheet name="점수" sheetId="2" r:id="rId2"/>
    <sheet name="정규화" sheetId="3" r:id="rId3"/>
    <sheet name="root" sheetId="4" r:id="rId4"/>
    <sheet name="ver1" sheetId="5" r:id="rId5"/>
    <sheet name="normalize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4" i="5" l="1"/>
  <c r="I38" i="5" s="1"/>
  <c r="I14" i="5"/>
  <c r="H14" i="5"/>
  <c r="G14" i="5"/>
  <c r="P13" i="5"/>
  <c r="G37" i="5" s="1"/>
  <c r="P12" i="5"/>
  <c r="I36" i="5" s="1"/>
  <c r="I12" i="5"/>
  <c r="G12" i="5"/>
  <c r="F12" i="5"/>
  <c r="E12" i="5"/>
  <c r="P11" i="5"/>
  <c r="G35" i="5" s="1"/>
  <c r="H11" i="5"/>
  <c r="F11" i="5"/>
  <c r="D11" i="5"/>
  <c r="T10" i="5"/>
  <c r="P10" i="5"/>
  <c r="I34" i="5" s="1"/>
  <c r="H10" i="5"/>
  <c r="F10" i="5"/>
  <c r="D10" i="5"/>
  <c r="T9" i="5"/>
  <c r="P9" i="5"/>
  <c r="G33" i="5" s="1"/>
  <c r="H9" i="5"/>
  <c r="F9" i="5"/>
  <c r="D9" i="5"/>
  <c r="T8" i="5"/>
  <c r="P8" i="5"/>
  <c r="I32" i="5" s="1"/>
  <c r="H8" i="5"/>
  <c r="F8" i="5"/>
  <c r="D8" i="5"/>
  <c r="T7" i="5"/>
  <c r="F14" i="5" s="1"/>
  <c r="P7" i="5"/>
  <c r="G31" i="5" s="1"/>
  <c r="H7" i="5"/>
  <c r="F7" i="5"/>
  <c r="D7" i="5"/>
  <c r="X6" i="5"/>
  <c r="T6" i="5"/>
  <c r="E14" i="5" s="1"/>
  <c r="P6" i="5"/>
  <c r="I30" i="5" s="1"/>
  <c r="I6" i="5"/>
  <c r="G6" i="5"/>
  <c r="F6" i="5"/>
  <c r="E6" i="5"/>
  <c r="X5" i="5"/>
  <c r="F26" i="5" s="1"/>
  <c r="T5" i="5"/>
  <c r="D14" i="5" s="1"/>
  <c r="P5" i="5"/>
  <c r="H29" i="5" s="1"/>
  <c r="G5" i="5"/>
  <c r="G301" i="4"/>
  <c r="F301" i="4"/>
  <c r="E301" i="4"/>
  <c r="D301" i="4"/>
  <c r="G300" i="4"/>
  <c r="F300" i="4"/>
  <c r="E300" i="4"/>
  <c r="D300" i="4"/>
  <c r="G299" i="4"/>
  <c r="F299" i="4"/>
  <c r="E299" i="4"/>
  <c r="D299" i="4"/>
  <c r="G298" i="4"/>
  <c r="F298" i="4"/>
  <c r="E298" i="4"/>
  <c r="D298" i="4"/>
  <c r="G297" i="4"/>
  <c r="F297" i="4"/>
  <c r="E297" i="4"/>
  <c r="D297" i="4"/>
  <c r="G296" i="4"/>
  <c r="F296" i="4"/>
  <c r="E296" i="4"/>
  <c r="D296" i="4"/>
  <c r="G295" i="4"/>
  <c r="F295" i="4"/>
  <c r="E295" i="4"/>
  <c r="D295" i="4"/>
  <c r="G294" i="4"/>
  <c r="F294" i="4"/>
  <c r="E294" i="4"/>
  <c r="D294" i="4"/>
  <c r="G293" i="4"/>
  <c r="F293" i="4"/>
  <c r="E293" i="4"/>
  <c r="D293" i="4"/>
  <c r="G292" i="4"/>
  <c r="F292" i="4"/>
  <c r="E292" i="4"/>
  <c r="D292" i="4"/>
  <c r="G291" i="4"/>
  <c r="F291" i="4"/>
  <c r="E291" i="4"/>
  <c r="D291" i="4"/>
  <c r="G290" i="4"/>
  <c r="F290" i="4"/>
  <c r="E290" i="4"/>
  <c r="D290" i="4"/>
  <c r="G289" i="4"/>
  <c r="F289" i="4"/>
  <c r="E289" i="4"/>
  <c r="D289" i="4"/>
  <c r="G288" i="4"/>
  <c r="F288" i="4"/>
  <c r="E288" i="4"/>
  <c r="D288" i="4"/>
  <c r="G287" i="4"/>
  <c r="F287" i="4"/>
  <c r="E287" i="4"/>
  <c r="D287" i="4"/>
  <c r="G286" i="4"/>
  <c r="F286" i="4"/>
  <c r="E286" i="4"/>
  <c r="D286" i="4"/>
  <c r="G285" i="4"/>
  <c r="F285" i="4"/>
  <c r="E285" i="4"/>
  <c r="D285" i="4"/>
  <c r="G284" i="4"/>
  <c r="F284" i="4"/>
  <c r="E284" i="4"/>
  <c r="D284" i="4"/>
  <c r="G283" i="4"/>
  <c r="F283" i="4"/>
  <c r="E283" i="4"/>
  <c r="D283" i="4"/>
  <c r="G282" i="4"/>
  <c r="F282" i="4"/>
  <c r="E282" i="4"/>
  <c r="D282" i="4"/>
  <c r="G281" i="4"/>
  <c r="F281" i="4"/>
  <c r="E281" i="4"/>
  <c r="D281" i="4"/>
  <c r="G280" i="4"/>
  <c r="F280" i="4"/>
  <c r="E280" i="4"/>
  <c r="D280" i="4"/>
  <c r="G279" i="4"/>
  <c r="F279" i="4"/>
  <c r="E279" i="4"/>
  <c r="D279" i="4"/>
  <c r="G278" i="4"/>
  <c r="F278" i="4"/>
  <c r="E278" i="4"/>
  <c r="D278" i="4"/>
  <c r="G277" i="4"/>
  <c r="F277" i="4"/>
  <c r="E277" i="4"/>
  <c r="D277" i="4"/>
  <c r="G276" i="4"/>
  <c r="F276" i="4"/>
  <c r="E276" i="4"/>
  <c r="D276" i="4"/>
  <c r="G275" i="4"/>
  <c r="F275" i="4"/>
  <c r="E275" i="4"/>
  <c r="D275" i="4"/>
  <c r="G274" i="4"/>
  <c r="F274" i="4"/>
  <c r="E274" i="4"/>
  <c r="D274" i="4"/>
  <c r="G273" i="4"/>
  <c r="F273" i="4"/>
  <c r="E273" i="4"/>
  <c r="D273" i="4"/>
  <c r="G272" i="4"/>
  <c r="F272" i="4"/>
  <c r="E272" i="4"/>
  <c r="D272" i="4"/>
  <c r="G271" i="4"/>
  <c r="F271" i="4"/>
  <c r="E271" i="4"/>
  <c r="D271" i="4"/>
  <c r="G270" i="4"/>
  <c r="F270" i="4"/>
  <c r="E270" i="4"/>
  <c r="D270" i="4"/>
  <c r="G269" i="4"/>
  <c r="F269" i="4"/>
  <c r="E269" i="4"/>
  <c r="D269" i="4"/>
  <c r="G268" i="4"/>
  <c r="F268" i="4"/>
  <c r="E268" i="4"/>
  <c r="D268" i="4"/>
  <c r="G267" i="4"/>
  <c r="F267" i="4"/>
  <c r="E267" i="4"/>
  <c r="D267" i="4"/>
  <c r="G266" i="4"/>
  <c r="F266" i="4"/>
  <c r="E266" i="4"/>
  <c r="D266" i="4"/>
  <c r="G265" i="4"/>
  <c r="F265" i="4"/>
  <c r="E265" i="4"/>
  <c r="D265" i="4"/>
  <c r="G264" i="4"/>
  <c r="F264" i="4"/>
  <c r="E264" i="4"/>
  <c r="D264" i="4"/>
  <c r="G263" i="4"/>
  <c r="F263" i="4"/>
  <c r="E263" i="4"/>
  <c r="D263" i="4"/>
  <c r="G262" i="4"/>
  <c r="F262" i="4"/>
  <c r="E262" i="4"/>
  <c r="D262" i="4"/>
  <c r="G261" i="4"/>
  <c r="F261" i="4"/>
  <c r="E261" i="4"/>
  <c r="D261" i="4"/>
  <c r="G260" i="4"/>
  <c r="F260" i="4"/>
  <c r="E260" i="4"/>
  <c r="D260" i="4"/>
  <c r="G259" i="4"/>
  <c r="F259" i="4"/>
  <c r="E259" i="4"/>
  <c r="D259" i="4"/>
  <c r="G258" i="4"/>
  <c r="F258" i="4"/>
  <c r="E258" i="4"/>
  <c r="D258" i="4"/>
  <c r="G257" i="4"/>
  <c r="F257" i="4"/>
  <c r="E257" i="4"/>
  <c r="D257" i="4"/>
  <c r="G256" i="4"/>
  <c r="F256" i="4"/>
  <c r="E256" i="4"/>
  <c r="D256" i="4"/>
  <c r="G255" i="4"/>
  <c r="F255" i="4"/>
  <c r="E255" i="4"/>
  <c r="D255" i="4"/>
  <c r="G254" i="4"/>
  <c r="F254" i="4"/>
  <c r="E254" i="4"/>
  <c r="D254" i="4"/>
  <c r="G253" i="4"/>
  <c r="F253" i="4"/>
  <c r="E253" i="4"/>
  <c r="D253" i="4"/>
  <c r="G252" i="4"/>
  <c r="F252" i="4"/>
  <c r="E252" i="4"/>
  <c r="D252" i="4"/>
  <c r="G251" i="4"/>
  <c r="F251" i="4"/>
  <c r="E251" i="4"/>
  <c r="D251" i="4"/>
  <c r="G250" i="4"/>
  <c r="F250" i="4"/>
  <c r="E250" i="4"/>
  <c r="D250" i="4"/>
  <c r="G249" i="4"/>
  <c r="F249" i="4"/>
  <c r="E249" i="4"/>
  <c r="D249" i="4"/>
  <c r="G248" i="4"/>
  <c r="F248" i="4"/>
  <c r="E248" i="4"/>
  <c r="D248" i="4"/>
  <c r="G247" i="4"/>
  <c r="F247" i="4"/>
  <c r="E247" i="4"/>
  <c r="D247" i="4"/>
  <c r="G246" i="4"/>
  <c r="F246" i="4"/>
  <c r="E246" i="4"/>
  <c r="D246" i="4"/>
  <c r="G245" i="4"/>
  <c r="F245" i="4"/>
  <c r="E245" i="4"/>
  <c r="D245" i="4"/>
  <c r="G244" i="4"/>
  <c r="F244" i="4"/>
  <c r="E244" i="4"/>
  <c r="D244" i="4"/>
  <c r="G243" i="4"/>
  <c r="F243" i="4"/>
  <c r="E243" i="4"/>
  <c r="D243" i="4"/>
  <c r="G242" i="4"/>
  <c r="F242" i="4"/>
  <c r="E242" i="4"/>
  <c r="D242" i="4"/>
  <c r="G241" i="4"/>
  <c r="F241" i="4"/>
  <c r="E241" i="4"/>
  <c r="D241" i="4"/>
  <c r="G240" i="4"/>
  <c r="F240" i="4"/>
  <c r="E240" i="4"/>
  <c r="D240" i="4"/>
  <c r="G239" i="4"/>
  <c r="F239" i="4"/>
  <c r="E239" i="4"/>
  <c r="D239" i="4"/>
  <c r="G238" i="4"/>
  <c r="F238" i="4"/>
  <c r="E238" i="4"/>
  <c r="D238" i="4"/>
  <c r="G237" i="4"/>
  <c r="F237" i="4"/>
  <c r="E237" i="4"/>
  <c r="D237" i="4"/>
  <c r="G236" i="4"/>
  <c r="F236" i="4"/>
  <c r="E236" i="4"/>
  <c r="D236" i="4"/>
  <c r="G235" i="4"/>
  <c r="F235" i="4"/>
  <c r="E235" i="4"/>
  <c r="D235" i="4"/>
  <c r="G234" i="4"/>
  <c r="F234" i="4"/>
  <c r="E234" i="4"/>
  <c r="D234" i="4"/>
  <c r="G233" i="4"/>
  <c r="F233" i="4"/>
  <c r="E233" i="4"/>
  <c r="D233" i="4"/>
  <c r="G232" i="4"/>
  <c r="F232" i="4"/>
  <c r="E232" i="4"/>
  <c r="D232" i="4"/>
  <c r="G231" i="4"/>
  <c r="F231" i="4"/>
  <c r="E231" i="4"/>
  <c r="D231" i="4"/>
  <c r="G230" i="4"/>
  <c r="F230" i="4"/>
  <c r="E230" i="4"/>
  <c r="D230" i="4"/>
  <c r="G229" i="4"/>
  <c r="F229" i="4"/>
  <c r="E229" i="4"/>
  <c r="D229" i="4"/>
  <c r="G228" i="4"/>
  <c r="F228" i="4"/>
  <c r="E228" i="4"/>
  <c r="D228" i="4"/>
  <c r="G227" i="4"/>
  <c r="F227" i="4"/>
  <c r="E227" i="4"/>
  <c r="D227" i="4"/>
  <c r="G226" i="4"/>
  <c r="F226" i="4"/>
  <c r="E226" i="4"/>
  <c r="D226" i="4"/>
  <c r="G225" i="4"/>
  <c r="F225" i="4"/>
  <c r="E225" i="4"/>
  <c r="D225" i="4"/>
  <c r="G224" i="4"/>
  <c r="F224" i="4"/>
  <c r="E224" i="4"/>
  <c r="D224" i="4"/>
  <c r="G223" i="4"/>
  <c r="F223" i="4"/>
  <c r="E223" i="4"/>
  <c r="D223" i="4"/>
  <c r="G222" i="4"/>
  <c r="F222" i="4"/>
  <c r="E222" i="4"/>
  <c r="D222" i="4"/>
  <c r="G221" i="4"/>
  <c r="F221" i="4"/>
  <c r="E221" i="4"/>
  <c r="D221" i="4"/>
  <c r="G220" i="4"/>
  <c r="F220" i="4"/>
  <c r="E220" i="4"/>
  <c r="D220" i="4"/>
  <c r="G219" i="4"/>
  <c r="F219" i="4"/>
  <c r="E219" i="4"/>
  <c r="D219" i="4"/>
  <c r="G218" i="4"/>
  <c r="F218" i="4"/>
  <c r="E218" i="4"/>
  <c r="D218" i="4"/>
  <c r="G217" i="4"/>
  <c r="F217" i="4"/>
  <c r="E217" i="4"/>
  <c r="D217" i="4"/>
  <c r="G216" i="4"/>
  <c r="F216" i="4"/>
  <c r="E216" i="4"/>
  <c r="D216" i="4"/>
  <c r="G215" i="4"/>
  <c r="F215" i="4"/>
  <c r="E215" i="4"/>
  <c r="D215" i="4"/>
  <c r="G214" i="4"/>
  <c r="F214" i="4"/>
  <c r="E214" i="4"/>
  <c r="D214" i="4"/>
  <c r="G213" i="4"/>
  <c r="F213" i="4"/>
  <c r="E213" i="4"/>
  <c r="D213" i="4"/>
  <c r="G212" i="4"/>
  <c r="F212" i="4"/>
  <c r="E212" i="4"/>
  <c r="D212" i="4"/>
  <c r="G211" i="4"/>
  <c r="F211" i="4"/>
  <c r="E211" i="4"/>
  <c r="D211" i="4"/>
  <c r="G210" i="4"/>
  <c r="F210" i="4"/>
  <c r="E210" i="4"/>
  <c r="D210" i="4"/>
  <c r="G209" i="4"/>
  <c r="F209" i="4"/>
  <c r="E209" i="4"/>
  <c r="D209" i="4"/>
  <c r="G208" i="4"/>
  <c r="F208" i="4"/>
  <c r="E208" i="4"/>
  <c r="D208" i="4"/>
  <c r="G207" i="4"/>
  <c r="F207" i="4"/>
  <c r="E207" i="4"/>
  <c r="D207" i="4"/>
  <c r="G206" i="4"/>
  <c r="F206" i="4"/>
  <c r="E206" i="4"/>
  <c r="D206" i="4"/>
  <c r="G205" i="4"/>
  <c r="F205" i="4"/>
  <c r="E205" i="4"/>
  <c r="D205" i="4"/>
  <c r="G204" i="4"/>
  <c r="F204" i="4"/>
  <c r="E204" i="4"/>
  <c r="D204" i="4"/>
  <c r="G203" i="4"/>
  <c r="F203" i="4"/>
  <c r="E203" i="4"/>
  <c r="D203" i="4"/>
  <c r="G202" i="4"/>
  <c r="F202" i="4"/>
  <c r="E202" i="4"/>
  <c r="D202" i="4"/>
  <c r="G201" i="4"/>
  <c r="F201" i="4"/>
  <c r="E201" i="4"/>
  <c r="D201" i="4"/>
  <c r="G200" i="4"/>
  <c r="F200" i="4"/>
  <c r="E200" i="4"/>
  <c r="D200" i="4"/>
  <c r="G199" i="4"/>
  <c r="F199" i="4"/>
  <c r="E199" i="4"/>
  <c r="D199" i="4"/>
  <c r="G198" i="4"/>
  <c r="F198" i="4"/>
  <c r="E198" i="4"/>
  <c r="D198" i="4"/>
  <c r="G197" i="4"/>
  <c r="F197" i="4"/>
  <c r="E197" i="4"/>
  <c r="D197" i="4"/>
  <c r="G196" i="4"/>
  <c r="F196" i="4"/>
  <c r="E196" i="4"/>
  <c r="D196" i="4"/>
  <c r="G195" i="4"/>
  <c r="F195" i="4"/>
  <c r="E195" i="4"/>
  <c r="D195" i="4"/>
  <c r="G194" i="4"/>
  <c r="F194" i="4"/>
  <c r="E194" i="4"/>
  <c r="D194" i="4"/>
  <c r="G193" i="4"/>
  <c r="F193" i="4"/>
  <c r="E193" i="4"/>
  <c r="D193" i="4"/>
  <c r="G192" i="4"/>
  <c r="F192" i="4"/>
  <c r="E192" i="4"/>
  <c r="D192" i="4"/>
  <c r="G191" i="4"/>
  <c r="F191" i="4"/>
  <c r="E191" i="4"/>
  <c r="D191" i="4"/>
  <c r="G190" i="4"/>
  <c r="F190" i="4"/>
  <c r="E190" i="4"/>
  <c r="D190" i="4"/>
  <c r="G189" i="4"/>
  <c r="F189" i="4"/>
  <c r="E189" i="4"/>
  <c r="D189" i="4"/>
  <c r="G188" i="4"/>
  <c r="F188" i="4"/>
  <c r="E188" i="4"/>
  <c r="D188" i="4"/>
  <c r="G187" i="4"/>
  <c r="F187" i="4"/>
  <c r="E187" i="4"/>
  <c r="D187" i="4"/>
  <c r="G186" i="4"/>
  <c r="F186" i="4"/>
  <c r="E186" i="4"/>
  <c r="D186" i="4"/>
  <c r="G185" i="4"/>
  <c r="F185" i="4"/>
  <c r="E185" i="4"/>
  <c r="D185" i="4"/>
  <c r="G184" i="4"/>
  <c r="F184" i="4"/>
  <c r="E184" i="4"/>
  <c r="D184" i="4"/>
  <c r="G183" i="4"/>
  <c r="F183" i="4"/>
  <c r="E183" i="4"/>
  <c r="D183" i="4"/>
  <c r="G182" i="4"/>
  <c r="F182" i="4"/>
  <c r="E182" i="4"/>
  <c r="D182" i="4"/>
  <c r="G181" i="4"/>
  <c r="F181" i="4"/>
  <c r="E181" i="4"/>
  <c r="D181" i="4"/>
  <c r="G180" i="4"/>
  <c r="F180" i="4"/>
  <c r="E180" i="4"/>
  <c r="D180" i="4"/>
  <c r="G179" i="4"/>
  <c r="F179" i="4"/>
  <c r="E179" i="4"/>
  <c r="D179" i="4"/>
  <c r="G178" i="4"/>
  <c r="F178" i="4"/>
  <c r="E178" i="4"/>
  <c r="D178" i="4"/>
  <c r="G177" i="4"/>
  <c r="F177" i="4"/>
  <c r="E177" i="4"/>
  <c r="D177" i="4"/>
  <c r="G176" i="4"/>
  <c r="F176" i="4"/>
  <c r="E176" i="4"/>
  <c r="D176" i="4"/>
  <c r="G175" i="4"/>
  <c r="F175" i="4"/>
  <c r="E175" i="4"/>
  <c r="D175" i="4"/>
  <c r="G174" i="4"/>
  <c r="F174" i="4"/>
  <c r="E174" i="4"/>
  <c r="D174" i="4"/>
  <c r="G173" i="4"/>
  <c r="F173" i="4"/>
  <c r="E173" i="4"/>
  <c r="D173" i="4"/>
  <c r="G172" i="4"/>
  <c r="F172" i="4"/>
  <c r="E172" i="4"/>
  <c r="D172" i="4"/>
  <c r="G171" i="4"/>
  <c r="F171" i="4"/>
  <c r="E171" i="4"/>
  <c r="D171" i="4"/>
  <c r="G170" i="4"/>
  <c r="F170" i="4"/>
  <c r="E170" i="4"/>
  <c r="D170" i="4"/>
  <c r="G169" i="4"/>
  <c r="F169" i="4"/>
  <c r="E169" i="4"/>
  <c r="D169" i="4"/>
  <c r="G168" i="4"/>
  <c r="F168" i="4"/>
  <c r="E168" i="4"/>
  <c r="D168" i="4"/>
  <c r="G167" i="4"/>
  <c r="F167" i="4"/>
  <c r="E167" i="4"/>
  <c r="D167" i="4"/>
  <c r="G166" i="4"/>
  <c r="F166" i="4"/>
  <c r="E166" i="4"/>
  <c r="D166" i="4"/>
  <c r="G165" i="4"/>
  <c r="F165" i="4"/>
  <c r="E165" i="4"/>
  <c r="D165" i="4"/>
  <c r="G164" i="4"/>
  <c r="F164" i="4"/>
  <c r="E164" i="4"/>
  <c r="D164" i="4"/>
  <c r="G163" i="4"/>
  <c r="F163" i="4"/>
  <c r="E163" i="4"/>
  <c r="D163" i="4"/>
  <c r="G162" i="4"/>
  <c r="F162" i="4"/>
  <c r="E162" i="4"/>
  <c r="D162" i="4"/>
  <c r="G161" i="4"/>
  <c r="F161" i="4"/>
  <c r="E161" i="4"/>
  <c r="D161" i="4"/>
  <c r="G160" i="4"/>
  <c r="F160" i="4"/>
  <c r="E160" i="4"/>
  <c r="D160" i="4"/>
  <c r="G159" i="4"/>
  <c r="F159" i="4"/>
  <c r="E159" i="4"/>
  <c r="D159" i="4"/>
  <c r="G158" i="4"/>
  <c r="F158" i="4"/>
  <c r="E158" i="4"/>
  <c r="D158" i="4"/>
  <c r="G157" i="4"/>
  <c r="F157" i="4"/>
  <c r="E157" i="4"/>
  <c r="D157" i="4"/>
  <c r="G156" i="4"/>
  <c r="F156" i="4"/>
  <c r="E156" i="4"/>
  <c r="D156" i="4"/>
  <c r="G155" i="4"/>
  <c r="F155" i="4"/>
  <c r="E155" i="4"/>
  <c r="D155" i="4"/>
  <c r="G154" i="4"/>
  <c r="F154" i="4"/>
  <c r="E154" i="4"/>
  <c r="D154" i="4"/>
  <c r="G153" i="4"/>
  <c r="F153" i="4"/>
  <c r="E153" i="4"/>
  <c r="D153" i="4"/>
  <c r="G152" i="4"/>
  <c r="F152" i="4"/>
  <c r="E152" i="4"/>
  <c r="D152" i="4"/>
  <c r="G151" i="4"/>
  <c r="F151" i="4"/>
  <c r="E151" i="4"/>
  <c r="D151" i="4"/>
  <c r="G150" i="4"/>
  <c r="F150" i="4"/>
  <c r="E150" i="4"/>
  <c r="D150" i="4"/>
  <c r="G149" i="4"/>
  <c r="F149" i="4"/>
  <c r="E149" i="4"/>
  <c r="D149" i="4"/>
  <c r="G148" i="4"/>
  <c r="F148" i="4"/>
  <c r="E148" i="4"/>
  <c r="D148" i="4"/>
  <c r="G147" i="4"/>
  <c r="F147" i="4"/>
  <c r="E147" i="4"/>
  <c r="D147" i="4"/>
  <c r="G146" i="4"/>
  <c r="F146" i="4"/>
  <c r="E146" i="4"/>
  <c r="D146" i="4"/>
  <c r="G145" i="4"/>
  <c r="F145" i="4"/>
  <c r="E145" i="4"/>
  <c r="D145" i="4"/>
  <c r="G144" i="4"/>
  <c r="F144" i="4"/>
  <c r="E144" i="4"/>
  <c r="D144" i="4"/>
  <c r="G143" i="4"/>
  <c r="F143" i="4"/>
  <c r="E143" i="4"/>
  <c r="D143" i="4"/>
  <c r="G142" i="4"/>
  <c r="F142" i="4"/>
  <c r="E142" i="4"/>
  <c r="D142" i="4"/>
  <c r="G141" i="4"/>
  <c r="F141" i="4"/>
  <c r="E141" i="4"/>
  <c r="D141" i="4"/>
  <c r="G140" i="4"/>
  <c r="F140" i="4"/>
  <c r="E140" i="4"/>
  <c r="D140" i="4"/>
  <c r="G139" i="4"/>
  <c r="F139" i="4"/>
  <c r="E139" i="4"/>
  <c r="D139" i="4"/>
  <c r="G138" i="4"/>
  <c r="F138" i="4"/>
  <c r="E138" i="4"/>
  <c r="D138" i="4"/>
  <c r="G137" i="4"/>
  <c r="F137" i="4"/>
  <c r="E137" i="4"/>
  <c r="D137" i="4"/>
  <c r="G136" i="4"/>
  <c r="F136" i="4"/>
  <c r="E136" i="4"/>
  <c r="D136" i="4"/>
  <c r="G135" i="4"/>
  <c r="F135" i="4"/>
  <c r="E135" i="4"/>
  <c r="D135" i="4"/>
  <c r="G134" i="4"/>
  <c r="F134" i="4"/>
  <c r="E134" i="4"/>
  <c r="D134" i="4"/>
  <c r="G133" i="4"/>
  <c r="F133" i="4"/>
  <c r="E133" i="4"/>
  <c r="D133" i="4"/>
  <c r="G132" i="4"/>
  <c r="F132" i="4"/>
  <c r="E132" i="4"/>
  <c r="D132" i="4"/>
  <c r="G131" i="4"/>
  <c r="F131" i="4"/>
  <c r="E131" i="4"/>
  <c r="D131" i="4"/>
  <c r="G130" i="4"/>
  <c r="F130" i="4"/>
  <c r="E130" i="4"/>
  <c r="D130" i="4"/>
  <c r="G129" i="4"/>
  <c r="F129" i="4"/>
  <c r="E129" i="4"/>
  <c r="D129" i="4"/>
  <c r="G128" i="4"/>
  <c r="F128" i="4"/>
  <c r="E128" i="4"/>
  <c r="D128" i="4"/>
  <c r="G127" i="4"/>
  <c r="F127" i="4"/>
  <c r="E127" i="4"/>
  <c r="D127" i="4"/>
  <c r="G126" i="4"/>
  <c r="F126" i="4"/>
  <c r="E126" i="4"/>
  <c r="D126" i="4"/>
  <c r="G125" i="4"/>
  <c r="F125" i="4"/>
  <c r="E125" i="4"/>
  <c r="D125" i="4"/>
  <c r="G124" i="4"/>
  <c r="F124" i="4"/>
  <c r="E124" i="4"/>
  <c r="D124" i="4"/>
  <c r="G123" i="4"/>
  <c r="F123" i="4"/>
  <c r="E123" i="4"/>
  <c r="D123" i="4"/>
  <c r="G122" i="4"/>
  <c r="F122" i="4"/>
  <c r="E122" i="4"/>
  <c r="D122" i="4"/>
  <c r="G121" i="4"/>
  <c r="F121" i="4"/>
  <c r="E121" i="4"/>
  <c r="D121" i="4"/>
  <c r="G120" i="4"/>
  <c r="F120" i="4"/>
  <c r="E120" i="4"/>
  <c r="D120" i="4"/>
  <c r="G119" i="4"/>
  <c r="F119" i="4"/>
  <c r="E119" i="4"/>
  <c r="D119" i="4"/>
  <c r="G118" i="4"/>
  <c r="F118" i="4"/>
  <c r="E118" i="4"/>
  <c r="D118" i="4"/>
  <c r="G117" i="4"/>
  <c r="F117" i="4"/>
  <c r="E117" i="4"/>
  <c r="D117" i="4"/>
  <c r="G116" i="4"/>
  <c r="F116" i="4"/>
  <c r="E116" i="4"/>
  <c r="D116" i="4"/>
  <c r="G115" i="4"/>
  <c r="F115" i="4"/>
  <c r="E115" i="4"/>
  <c r="D115" i="4"/>
  <c r="G114" i="4"/>
  <c r="F114" i="4"/>
  <c r="E114" i="4"/>
  <c r="D114" i="4"/>
  <c r="G113" i="4"/>
  <c r="F113" i="4"/>
  <c r="E113" i="4"/>
  <c r="D113" i="4"/>
  <c r="G112" i="4"/>
  <c r="F112" i="4"/>
  <c r="E112" i="4"/>
  <c r="D112" i="4"/>
  <c r="G111" i="4"/>
  <c r="F111" i="4"/>
  <c r="E111" i="4"/>
  <c r="D111" i="4"/>
  <c r="G110" i="4"/>
  <c r="F110" i="4"/>
  <c r="E110" i="4"/>
  <c r="D110" i="4"/>
  <c r="G109" i="4"/>
  <c r="F109" i="4"/>
  <c r="E109" i="4"/>
  <c r="D109" i="4"/>
  <c r="G108" i="4"/>
  <c r="F108" i="4"/>
  <c r="E108" i="4"/>
  <c r="D108" i="4"/>
  <c r="G107" i="4"/>
  <c r="F107" i="4"/>
  <c r="E107" i="4"/>
  <c r="D107" i="4"/>
  <c r="G106" i="4"/>
  <c r="F106" i="4"/>
  <c r="E106" i="4"/>
  <c r="D106" i="4"/>
  <c r="G105" i="4"/>
  <c r="F105" i="4"/>
  <c r="E105" i="4"/>
  <c r="D105" i="4"/>
  <c r="G104" i="4"/>
  <c r="F104" i="4"/>
  <c r="E104" i="4"/>
  <c r="D104" i="4"/>
  <c r="G103" i="4"/>
  <c r="F103" i="4"/>
  <c r="E103" i="4"/>
  <c r="D103" i="4"/>
  <c r="G102" i="4"/>
  <c r="F102" i="4"/>
  <c r="E102" i="4"/>
  <c r="D102" i="4"/>
  <c r="G101" i="4"/>
  <c r="F101" i="4"/>
  <c r="E101" i="4"/>
  <c r="D101" i="4"/>
  <c r="G100" i="4"/>
  <c r="F100" i="4"/>
  <c r="E100" i="4"/>
  <c r="D100" i="4"/>
  <c r="G99" i="4"/>
  <c r="F99" i="4"/>
  <c r="E99" i="4"/>
  <c r="D99" i="4"/>
  <c r="G98" i="4"/>
  <c r="F98" i="4"/>
  <c r="E98" i="4"/>
  <c r="D98" i="4"/>
  <c r="G97" i="4"/>
  <c r="F97" i="4"/>
  <c r="E97" i="4"/>
  <c r="D97" i="4"/>
  <c r="G96" i="4"/>
  <c r="F96" i="4"/>
  <c r="E96" i="4"/>
  <c r="D96" i="4"/>
  <c r="G95" i="4"/>
  <c r="F95" i="4"/>
  <c r="E95" i="4"/>
  <c r="D95" i="4"/>
  <c r="G94" i="4"/>
  <c r="F94" i="4"/>
  <c r="E94" i="4"/>
  <c r="D94" i="4"/>
  <c r="G93" i="4"/>
  <c r="F93" i="4"/>
  <c r="E93" i="4"/>
  <c r="D93" i="4"/>
  <c r="G92" i="4"/>
  <c r="F92" i="4"/>
  <c r="E92" i="4"/>
  <c r="D92" i="4"/>
  <c r="G91" i="4"/>
  <c r="F91" i="4"/>
  <c r="E91" i="4"/>
  <c r="D91" i="4"/>
  <c r="G90" i="4"/>
  <c r="F90" i="4"/>
  <c r="E90" i="4"/>
  <c r="D90" i="4"/>
  <c r="G89" i="4"/>
  <c r="F89" i="4"/>
  <c r="E89" i="4"/>
  <c r="D89" i="4"/>
  <c r="G88" i="4"/>
  <c r="F88" i="4"/>
  <c r="E88" i="4"/>
  <c r="D88" i="4"/>
  <c r="G87" i="4"/>
  <c r="F87" i="4"/>
  <c r="E87" i="4"/>
  <c r="D87" i="4"/>
  <c r="G86" i="4"/>
  <c r="F86" i="4"/>
  <c r="E86" i="4"/>
  <c r="D86" i="4"/>
  <c r="G85" i="4"/>
  <c r="F85" i="4"/>
  <c r="E85" i="4"/>
  <c r="D85" i="4"/>
  <c r="G84" i="4"/>
  <c r="F84" i="4"/>
  <c r="E84" i="4"/>
  <c r="D84" i="4"/>
  <c r="G83" i="4"/>
  <c r="F83" i="4"/>
  <c r="E83" i="4"/>
  <c r="D83" i="4"/>
  <c r="G82" i="4"/>
  <c r="F82" i="4"/>
  <c r="E82" i="4"/>
  <c r="D82" i="4"/>
  <c r="G81" i="4"/>
  <c r="F81" i="4"/>
  <c r="E81" i="4"/>
  <c r="D81" i="4"/>
  <c r="G80" i="4"/>
  <c r="F80" i="4"/>
  <c r="E80" i="4"/>
  <c r="D80" i="4"/>
  <c r="G79" i="4"/>
  <c r="F79" i="4"/>
  <c r="E79" i="4"/>
  <c r="D79" i="4"/>
  <c r="G78" i="4"/>
  <c r="F78" i="4"/>
  <c r="E78" i="4"/>
  <c r="D78" i="4"/>
  <c r="G77" i="4"/>
  <c r="F77" i="4"/>
  <c r="E77" i="4"/>
  <c r="D77" i="4"/>
  <c r="G76" i="4"/>
  <c r="F76" i="4"/>
  <c r="E76" i="4"/>
  <c r="D76" i="4"/>
  <c r="G75" i="4"/>
  <c r="F75" i="4"/>
  <c r="E75" i="4"/>
  <c r="D75" i="4"/>
  <c r="G74" i="4"/>
  <c r="F74" i="4"/>
  <c r="E74" i="4"/>
  <c r="D74" i="4"/>
  <c r="G73" i="4"/>
  <c r="F73" i="4"/>
  <c r="E73" i="4"/>
  <c r="D73" i="4"/>
  <c r="G72" i="4"/>
  <c r="F72" i="4"/>
  <c r="E72" i="4"/>
  <c r="D72" i="4"/>
  <c r="G71" i="4"/>
  <c r="F71" i="4"/>
  <c r="E71" i="4"/>
  <c r="D71" i="4"/>
  <c r="G70" i="4"/>
  <c r="F70" i="4"/>
  <c r="E70" i="4"/>
  <c r="D70" i="4"/>
  <c r="G69" i="4"/>
  <c r="F69" i="4"/>
  <c r="E69" i="4"/>
  <c r="D69" i="4"/>
  <c r="G68" i="4"/>
  <c r="F68" i="4"/>
  <c r="E68" i="4"/>
  <c r="D68" i="4"/>
  <c r="G67" i="4"/>
  <c r="F67" i="4"/>
  <c r="E67" i="4"/>
  <c r="D67" i="4"/>
  <c r="G66" i="4"/>
  <c r="F66" i="4"/>
  <c r="E66" i="4"/>
  <c r="D66" i="4"/>
  <c r="G65" i="4"/>
  <c r="F65" i="4"/>
  <c r="E65" i="4"/>
  <c r="D65" i="4"/>
  <c r="G64" i="4"/>
  <c r="F64" i="4"/>
  <c r="E64" i="4"/>
  <c r="D64" i="4"/>
  <c r="G63" i="4"/>
  <c r="F63" i="4"/>
  <c r="E63" i="4"/>
  <c r="D63" i="4"/>
  <c r="G62" i="4"/>
  <c r="F62" i="4"/>
  <c r="E62" i="4"/>
  <c r="D62" i="4"/>
  <c r="G61" i="4"/>
  <c r="F61" i="4"/>
  <c r="E61" i="4"/>
  <c r="D61" i="4"/>
  <c r="G60" i="4"/>
  <c r="F60" i="4"/>
  <c r="E60" i="4"/>
  <c r="D60" i="4"/>
  <c r="G59" i="4"/>
  <c r="F59" i="4"/>
  <c r="E59" i="4"/>
  <c r="D59" i="4"/>
  <c r="G58" i="4"/>
  <c r="F58" i="4"/>
  <c r="E58" i="4"/>
  <c r="D58" i="4"/>
  <c r="G57" i="4"/>
  <c r="F57" i="4"/>
  <c r="E57" i="4"/>
  <c r="D57" i="4"/>
  <c r="G56" i="4"/>
  <c r="F56" i="4"/>
  <c r="E56" i="4"/>
  <c r="D56" i="4"/>
  <c r="G55" i="4"/>
  <c r="F55" i="4"/>
  <c r="E55" i="4"/>
  <c r="D55" i="4"/>
  <c r="G54" i="4"/>
  <c r="F54" i="4"/>
  <c r="E54" i="4"/>
  <c r="D54" i="4"/>
  <c r="G53" i="4"/>
  <c r="F53" i="4"/>
  <c r="E53" i="4"/>
  <c r="D53" i="4"/>
  <c r="G52" i="4"/>
  <c r="F52" i="4"/>
  <c r="E52" i="4"/>
  <c r="D52" i="4"/>
  <c r="G51" i="4"/>
  <c r="F51" i="4"/>
  <c r="E51" i="4"/>
  <c r="D51" i="4"/>
  <c r="G50" i="4"/>
  <c r="F50" i="4"/>
  <c r="E50" i="4"/>
  <c r="D50" i="4"/>
  <c r="G49" i="4"/>
  <c r="F49" i="4"/>
  <c r="E49" i="4"/>
  <c r="D49" i="4"/>
  <c r="G48" i="4"/>
  <c r="F48" i="4"/>
  <c r="E48" i="4"/>
  <c r="D48" i="4"/>
  <c r="G47" i="4"/>
  <c r="F47" i="4"/>
  <c r="E47" i="4"/>
  <c r="D47" i="4"/>
  <c r="G46" i="4"/>
  <c r="F46" i="4"/>
  <c r="E46" i="4"/>
  <c r="D46" i="4"/>
  <c r="G45" i="4"/>
  <c r="F45" i="4"/>
  <c r="E45" i="4"/>
  <c r="D45" i="4"/>
  <c r="G44" i="4"/>
  <c r="F44" i="4"/>
  <c r="E44" i="4"/>
  <c r="D44" i="4"/>
  <c r="G43" i="4"/>
  <c r="F43" i="4"/>
  <c r="E43" i="4"/>
  <c r="D43" i="4"/>
  <c r="G42" i="4"/>
  <c r="F42" i="4"/>
  <c r="E42" i="4"/>
  <c r="D42" i="4"/>
  <c r="G41" i="4"/>
  <c r="F41" i="4"/>
  <c r="E41" i="4"/>
  <c r="D41" i="4"/>
  <c r="G40" i="4"/>
  <c r="F40" i="4"/>
  <c r="E40" i="4"/>
  <c r="D40" i="4"/>
  <c r="G39" i="4"/>
  <c r="F39" i="4"/>
  <c r="E39" i="4"/>
  <c r="D39" i="4"/>
  <c r="G38" i="4"/>
  <c r="F38" i="4"/>
  <c r="E38" i="4"/>
  <c r="D38" i="4"/>
  <c r="G37" i="4"/>
  <c r="F37" i="4"/>
  <c r="E37" i="4"/>
  <c r="D37" i="4"/>
  <c r="G36" i="4"/>
  <c r="F36" i="4"/>
  <c r="E36" i="4"/>
  <c r="D36" i="4"/>
  <c r="G35" i="4"/>
  <c r="F35" i="4"/>
  <c r="E35" i="4"/>
  <c r="D35" i="4"/>
  <c r="G34" i="4"/>
  <c r="F34" i="4"/>
  <c r="E34" i="4"/>
  <c r="D34" i="4"/>
  <c r="G33" i="4"/>
  <c r="F33" i="4"/>
  <c r="E33" i="4"/>
  <c r="D33" i="4"/>
  <c r="G32" i="4"/>
  <c r="F32" i="4"/>
  <c r="E32" i="4"/>
  <c r="D32" i="4"/>
  <c r="G31" i="4"/>
  <c r="F31" i="4"/>
  <c r="E31" i="4"/>
  <c r="D31" i="4"/>
  <c r="G30" i="4"/>
  <c r="F30" i="4"/>
  <c r="E30" i="4"/>
  <c r="D30" i="4"/>
  <c r="G29" i="4"/>
  <c r="F29" i="4"/>
  <c r="E29" i="4"/>
  <c r="D29" i="4"/>
  <c r="G28" i="4"/>
  <c r="F28" i="4"/>
  <c r="E28" i="4"/>
  <c r="D28" i="4"/>
  <c r="G27" i="4"/>
  <c r="F27" i="4"/>
  <c r="E27" i="4"/>
  <c r="D27" i="4"/>
  <c r="G26" i="4"/>
  <c r="F26" i="4"/>
  <c r="E26" i="4"/>
  <c r="D26" i="4"/>
  <c r="G25" i="4"/>
  <c r="F25" i="4"/>
  <c r="E25" i="4"/>
  <c r="D25" i="4"/>
  <c r="G24" i="4"/>
  <c r="F24" i="4"/>
  <c r="E24" i="4"/>
  <c r="D24" i="4"/>
  <c r="G23" i="4"/>
  <c r="F23" i="4"/>
  <c r="E23" i="4"/>
  <c r="D23" i="4"/>
  <c r="G22" i="4"/>
  <c r="F22" i="4"/>
  <c r="E22" i="4"/>
  <c r="D22" i="4"/>
  <c r="G21" i="4"/>
  <c r="F21" i="4"/>
  <c r="E21" i="4"/>
  <c r="D21" i="4"/>
  <c r="G20" i="4"/>
  <c r="F20" i="4"/>
  <c r="E20" i="4"/>
  <c r="D20" i="4"/>
  <c r="G19" i="4"/>
  <c r="F19" i="4"/>
  <c r="E19" i="4"/>
  <c r="D19" i="4"/>
  <c r="G18" i="4"/>
  <c r="F18" i="4"/>
  <c r="E18" i="4"/>
  <c r="D18" i="4"/>
  <c r="G17" i="4"/>
  <c r="F17" i="4"/>
  <c r="E17" i="4"/>
  <c r="D17" i="4"/>
  <c r="G16" i="4"/>
  <c r="F16" i="4"/>
  <c r="E16" i="4"/>
  <c r="D16" i="4"/>
  <c r="G15" i="4"/>
  <c r="F15" i="4"/>
  <c r="E15" i="4"/>
  <c r="D15" i="4"/>
  <c r="G14" i="4"/>
  <c r="F14" i="4"/>
  <c r="E14" i="4"/>
  <c r="D14" i="4"/>
  <c r="G13" i="4"/>
  <c r="F13" i="4"/>
  <c r="E13" i="4"/>
  <c r="D13" i="4"/>
  <c r="G12" i="4"/>
  <c r="F12" i="4"/>
  <c r="E12" i="4"/>
  <c r="D12" i="4"/>
  <c r="G11" i="4"/>
  <c r="F11" i="4"/>
  <c r="E11" i="4"/>
  <c r="D11" i="4"/>
  <c r="G10" i="4"/>
  <c r="F10" i="4"/>
  <c r="E10" i="4"/>
  <c r="D10" i="4"/>
  <c r="G9" i="4"/>
  <c r="F9" i="4"/>
  <c r="E9" i="4"/>
  <c r="D9" i="4"/>
  <c r="G8" i="4"/>
  <c r="F8" i="4"/>
  <c r="E8" i="4"/>
  <c r="D8" i="4"/>
  <c r="G7" i="4"/>
  <c r="F7" i="4"/>
  <c r="E7" i="4"/>
  <c r="D7" i="4"/>
  <c r="G6" i="4"/>
  <c r="F6" i="4"/>
  <c r="E6" i="4"/>
  <c r="D6" i="4"/>
  <c r="G5" i="4"/>
  <c r="F5" i="4"/>
  <c r="E5" i="4"/>
  <c r="D5" i="4"/>
  <c r="G4" i="4"/>
  <c r="F4" i="4"/>
  <c r="E4" i="4"/>
  <c r="D4" i="4"/>
  <c r="G3" i="4"/>
  <c r="F3" i="4"/>
  <c r="E3" i="4"/>
  <c r="D3" i="4"/>
  <c r="G2" i="4"/>
  <c r="F2" i="4"/>
  <c r="E2" i="4"/>
  <c r="D2" i="4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17" i="5" l="1"/>
  <c r="D18" i="5"/>
  <c r="H18" i="5"/>
  <c r="F19" i="5"/>
  <c r="D20" i="5"/>
  <c r="H20" i="5"/>
  <c r="F21" i="5"/>
  <c r="D22" i="5"/>
  <c r="H22" i="5"/>
  <c r="F23" i="5"/>
  <c r="D24" i="5"/>
  <c r="H24" i="5"/>
  <c r="F25" i="5"/>
  <c r="D26" i="5"/>
  <c r="H26" i="5"/>
  <c r="E29" i="5"/>
  <c r="I29" i="5"/>
  <c r="F30" i="5"/>
  <c r="D31" i="5"/>
  <c r="H31" i="5"/>
  <c r="F32" i="5"/>
  <c r="D33" i="5"/>
  <c r="H33" i="5"/>
  <c r="F34" i="5"/>
  <c r="D35" i="5"/>
  <c r="H35" i="5"/>
  <c r="F36" i="5"/>
  <c r="D37" i="5"/>
  <c r="H37" i="5"/>
  <c r="F38" i="5"/>
  <c r="D5" i="5"/>
  <c r="H5" i="5"/>
  <c r="E7" i="5"/>
  <c r="I7" i="5"/>
  <c r="E8" i="5"/>
  <c r="I8" i="5"/>
  <c r="E9" i="5"/>
  <c r="I9" i="5"/>
  <c r="E10" i="5"/>
  <c r="I10" i="5"/>
  <c r="E11" i="5"/>
  <c r="I11" i="5"/>
  <c r="G13" i="5"/>
  <c r="D17" i="5"/>
  <c r="H17" i="5"/>
  <c r="E18" i="5"/>
  <c r="I18" i="5"/>
  <c r="G19" i="5"/>
  <c r="E20" i="5"/>
  <c r="I20" i="5"/>
  <c r="G21" i="5"/>
  <c r="E22" i="5"/>
  <c r="I22" i="5"/>
  <c r="G23" i="5"/>
  <c r="E24" i="5"/>
  <c r="I24" i="5"/>
  <c r="G25" i="5"/>
  <c r="E26" i="5"/>
  <c r="I26" i="5"/>
  <c r="F29" i="5"/>
  <c r="G30" i="5"/>
  <c r="E31" i="5"/>
  <c r="I31" i="5"/>
  <c r="G32" i="5"/>
  <c r="E33" i="5"/>
  <c r="I33" i="5"/>
  <c r="G34" i="5"/>
  <c r="E35" i="5"/>
  <c r="I35" i="5"/>
  <c r="G36" i="5"/>
  <c r="E37" i="5"/>
  <c r="I37" i="5"/>
  <c r="G38" i="5"/>
  <c r="E5" i="5"/>
  <c r="I5" i="5"/>
  <c r="D13" i="5"/>
  <c r="H13" i="5"/>
  <c r="E17" i="5"/>
  <c r="I17" i="5"/>
  <c r="F18" i="5"/>
  <c r="D19" i="5"/>
  <c r="H19" i="5"/>
  <c r="F20" i="5"/>
  <c r="D21" i="5"/>
  <c r="H21" i="5"/>
  <c r="F22" i="5"/>
  <c r="D23" i="5"/>
  <c r="H23" i="5"/>
  <c r="F24" i="5"/>
  <c r="D25" i="5"/>
  <c r="H25" i="5"/>
  <c r="G29" i="5"/>
  <c r="D30" i="5"/>
  <c r="H30" i="5"/>
  <c r="F31" i="5"/>
  <c r="D32" i="5"/>
  <c r="H32" i="5"/>
  <c r="F33" i="5"/>
  <c r="D34" i="5"/>
  <c r="H34" i="5"/>
  <c r="F35" i="5"/>
  <c r="D36" i="5"/>
  <c r="H36" i="5"/>
  <c r="F37" i="5"/>
  <c r="D38" i="5"/>
  <c r="H38" i="5"/>
  <c r="F13" i="5"/>
  <c r="F5" i="5"/>
  <c r="D6" i="5"/>
  <c r="H6" i="5"/>
  <c r="G7" i="5"/>
  <c r="G8" i="5"/>
  <c r="G9" i="5"/>
  <c r="G10" i="5"/>
  <c r="G11" i="5"/>
  <c r="D12" i="5"/>
  <c r="H12" i="5"/>
  <c r="E13" i="5"/>
  <c r="I13" i="5"/>
  <c r="F17" i="5"/>
  <c r="G18" i="5"/>
  <c r="E19" i="5"/>
  <c r="I19" i="5"/>
  <c r="G20" i="5"/>
  <c r="E21" i="5"/>
  <c r="I21" i="5"/>
  <c r="G22" i="5"/>
  <c r="E23" i="5"/>
  <c r="I23" i="5"/>
  <c r="G24" i="5"/>
  <c r="E25" i="5"/>
  <c r="I25" i="5"/>
  <c r="G26" i="5"/>
  <c r="D29" i="5"/>
  <c r="E30" i="5"/>
  <c r="E32" i="5"/>
  <c r="E34" i="5"/>
  <c r="E36" i="5"/>
  <c r="E38" i="5"/>
  <c r="L17" i="5" l="1"/>
  <c r="L16" i="5"/>
  <c r="L5" i="5"/>
  <c r="L4" i="5"/>
  <c r="L28" i="5"/>
  <c r="L29" i="5"/>
</calcChain>
</file>

<file path=xl/sharedStrings.xml><?xml version="1.0" encoding="utf-8"?>
<sst xmlns="http://schemas.openxmlformats.org/spreadsheetml/2006/main" count="1631" uniqueCount="45">
  <si>
    <t>연도</t>
  </si>
  <si>
    <t>관계</t>
  </si>
  <si>
    <t>장소</t>
  </si>
  <si>
    <t>인덱스</t>
  </si>
  <si>
    <t>점수</t>
  </si>
  <si>
    <t>판정</t>
  </si>
  <si>
    <t>본인</t>
  </si>
  <si>
    <t>가정 내</t>
  </si>
  <si>
    <t>생활시설</t>
  </si>
  <si>
    <t>이용시설</t>
  </si>
  <si>
    <t>병원</t>
  </si>
  <si>
    <t>공공장소</t>
  </si>
  <si>
    <t>기타</t>
  </si>
  <si>
    <t>배우자</t>
  </si>
  <si>
    <t>아들</t>
  </si>
  <si>
    <t>며느리</t>
  </si>
  <si>
    <t>딸</t>
  </si>
  <si>
    <t>사위</t>
  </si>
  <si>
    <t>손자녀</t>
  </si>
  <si>
    <t>친척</t>
  </si>
  <si>
    <t>타인</t>
  </si>
  <si>
    <t>기관</t>
  </si>
  <si>
    <t>정규화</t>
  </si>
  <si>
    <t>루트값</t>
  </si>
  <si>
    <t>평균</t>
  </si>
  <si>
    <t>루트</t>
  </si>
  <si>
    <t>max</t>
  </si>
  <si>
    <t>계</t>
  </si>
  <si>
    <t>min</t>
  </si>
  <si>
    <t>남</t>
  </si>
  <si>
    <t>여</t>
  </si>
  <si>
    <t>50점 이상</t>
  </si>
  <si>
    <t>조치 필요</t>
  </si>
  <si>
    <t>40점 이상</t>
  </si>
  <si>
    <t>경고</t>
  </si>
  <si>
    <t>10점 이상</t>
  </si>
  <si>
    <t>주의</t>
  </si>
  <si>
    <t>10점 미만</t>
  </si>
  <si>
    <t>가능성 있음</t>
  </si>
  <si>
    <t>남자</t>
  </si>
  <si>
    <t>여자</t>
  </si>
  <si>
    <t>관계_정규화</t>
  </si>
  <si>
    <t>장소_정규화</t>
  </si>
  <si>
    <t>결과_정규화</t>
  </si>
  <si>
    <t>조치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</si>
</sst>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.00000"/>
    <numFmt numFmtId="177" formatCode="0.000"/>
    <numFmt numFmtId="178" formatCode="0.00000_);[Red]\(0.00000\)"/>
  </numFmts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333333"/>
      <name val="Noto Sans KR"/>
      <family val="2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41" fontId="5" fillId="0" borderId="0">
      <alignment vertical="center"/>
    </xf>
  </cellStyleXfs>
  <cellXfs count="3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2" fontId="3" fillId="0" borderId="3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2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3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3" fillId="0" borderId="3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center" vertical="center" wrapText="1"/>
    </xf>
    <xf numFmtId="177" fontId="0" fillId="0" borderId="3" xfId="0" applyNumberFormat="1" applyBorder="1">
      <alignment vertical="center"/>
    </xf>
    <xf numFmtId="0" fontId="0" fillId="0" borderId="10" xfId="0" applyBorder="1">
      <alignment vertical="center"/>
    </xf>
    <xf numFmtId="0" fontId="3" fillId="0" borderId="3" xfId="0" applyFont="1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>
      <alignment vertical="center"/>
    </xf>
    <xf numFmtId="3" fontId="0" fillId="0" borderId="3" xfId="0" applyNumberFormat="1" applyBorder="1" applyAlignment="1">
      <alignment horizontal="right"/>
    </xf>
    <xf numFmtId="0" fontId="6" fillId="0" borderId="11" xfId="0" applyFont="1" applyBorder="1" applyAlignment="1">
      <alignment horizontal="center" vertical="top"/>
    </xf>
    <xf numFmtId="0" fontId="0" fillId="0" borderId="0" xfId="0" applyAlignment="1"/>
    <xf numFmtId="0" fontId="7" fillId="0" borderId="12" xfId="0" applyFont="1" applyBorder="1" applyAlignment="1">
      <alignment horizontal="center" vertical="top"/>
    </xf>
    <xf numFmtId="49" fontId="0" fillId="0" borderId="3" xfId="0" applyNumberFormat="1" applyBorder="1" applyAlignment="1">
      <alignment horizontal="center" vertical="center"/>
    </xf>
    <xf numFmtId="0" fontId="0" fillId="0" borderId="9" xfId="0" applyBorder="1" applyAlignment="1"/>
    <xf numFmtId="0" fontId="0" fillId="0" borderId="8" xfId="0" applyBorder="1" applyAlignment="1"/>
  </cellXfs>
  <cellStyles count="3">
    <cellStyle name="쉼표 [0] 2" xfId="2" xr:uid="{00000000-0005-0000-0000-000002000000}"/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opLeftCell="A73" workbookViewId="0">
      <selection activeCell="B92" sqref="B92:C97"/>
    </sheetView>
  </sheetViews>
  <sheetFormatPr defaultRowHeight="16.5"/>
  <sheetData>
    <row r="1" spans="1:3">
      <c r="A1" s="29" t="s">
        <v>0</v>
      </c>
      <c r="B1" s="29" t="s">
        <v>1</v>
      </c>
      <c r="C1" s="29" t="s">
        <v>2</v>
      </c>
    </row>
    <row r="2" spans="1:3">
      <c r="A2">
        <v>2018</v>
      </c>
      <c r="B2">
        <v>3.5830000000000001E-2</v>
      </c>
      <c r="C2">
        <v>0.73750000000000004</v>
      </c>
    </row>
    <row r="3" spans="1:3">
      <c r="A3">
        <v>2018</v>
      </c>
      <c r="B3">
        <v>3.5830000000000001E-2</v>
      </c>
      <c r="C3">
        <v>6.071E-2</v>
      </c>
    </row>
    <row r="4" spans="1:3">
      <c r="A4">
        <v>2018</v>
      </c>
      <c r="B4">
        <v>3.5830000000000001E-2</v>
      </c>
      <c r="C4">
        <v>6.5500000000000003E-3</v>
      </c>
    </row>
    <row r="5" spans="1:3">
      <c r="A5">
        <v>2018</v>
      </c>
      <c r="B5">
        <v>3.5830000000000001E-2</v>
      </c>
      <c r="C5">
        <v>1.039E-2</v>
      </c>
    </row>
    <row r="6" spans="1:3">
      <c r="A6">
        <v>2018</v>
      </c>
      <c r="B6">
        <v>3.5830000000000001E-2</v>
      </c>
      <c r="C6">
        <v>6.7099999999999998E-3</v>
      </c>
    </row>
    <row r="7" spans="1:3">
      <c r="A7">
        <v>2018</v>
      </c>
      <c r="B7">
        <v>3.5830000000000001E-2</v>
      </c>
      <c r="C7">
        <v>7.0299999999999998E-3</v>
      </c>
    </row>
    <row r="8" spans="1:3">
      <c r="A8">
        <v>2018</v>
      </c>
      <c r="B8">
        <v>0.23246</v>
      </c>
      <c r="C8">
        <v>0.73750000000000004</v>
      </c>
    </row>
    <row r="9" spans="1:3">
      <c r="A9">
        <v>2018</v>
      </c>
      <c r="B9">
        <v>0.23246</v>
      </c>
      <c r="C9">
        <v>6.071E-2</v>
      </c>
    </row>
    <row r="10" spans="1:3">
      <c r="A10">
        <v>2018</v>
      </c>
      <c r="B10">
        <v>0.23246</v>
      </c>
      <c r="C10">
        <v>6.5500000000000003E-3</v>
      </c>
    </row>
    <row r="11" spans="1:3">
      <c r="A11">
        <v>2018</v>
      </c>
      <c r="B11">
        <v>0.23246</v>
      </c>
      <c r="C11">
        <v>1.039E-2</v>
      </c>
    </row>
    <row r="12" spans="1:3">
      <c r="A12">
        <v>2018</v>
      </c>
      <c r="B12">
        <v>0.23246</v>
      </c>
      <c r="C12">
        <v>6.7099999999999998E-3</v>
      </c>
    </row>
    <row r="13" spans="1:3">
      <c r="A13">
        <v>2018</v>
      </c>
      <c r="B13">
        <v>0.23246</v>
      </c>
      <c r="C13">
        <v>7.0299999999999998E-3</v>
      </c>
    </row>
    <row r="14" spans="1:3">
      <c r="A14">
        <v>2018</v>
      </c>
      <c r="B14">
        <v>0.31441999999999998</v>
      </c>
      <c r="C14">
        <v>0.73750000000000004</v>
      </c>
    </row>
    <row r="15" spans="1:3">
      <c r="A15">
        <v>2018</v>
      </c>
      <c r="B15">
        <v>0.31441999999999998</v>
      </c>
      <c r="C15">
        <v>6.071E-2</v>
      </c>
    </row>
    <row r="16" spans="1:3">
      <c r="A16">
        <v>2018</v>
      </c>
      <c r="B16">
        <v>0.31441999999999998</v>
      </c>
      <c r="C16">
        <v>6.5500000000000003E-3</v>
      </c>
    </row>
    <row r="17" spans="1:3">
      <c r="A17">
        <v>2018</v>
      </c>
      <c r="B17">
        <v>0.31441999999999998</v>
      </c>
      <c r="C17">
        <v>1.039E-2</v>
      </c>
    </row>
    <row r="18" spans="1:3">
      <c r="A18">
        <v>2018</v>
      </c>
      <c r="B18">
        <v>0.31441999999999998</v>
      </c>
      <c r="C18">
        <v>6.7099999999999998E-3</v>
      </c>
    </row>
    <row r="19" spans="1:3">
      <c r="A19">
        <v>2018</v>
      </c>
      <c r="B19">
        <v>0.31441999999999998</v>
      </c>
      <c r="C19">
        <v>7.0299999999999998E-3</v>
      </c>
    </row>
    <row r="20" spans="1:3">
      <c r="A20">
        <v>2018</v>
      </c>
      <c r="B20">
        <v>2.1350000000000001E-2</v>
      </c>
      <c r="C20">
        <v>0.73750000000000004</v>
      </c>
    </row>
    <row r="21" spans="1:3">
      <c r="A21">
        <v>2018</v>
      </c>
      <c r="B21">
        <v>2.1350000000000001E-2</v>
      </c>
      <c r="C21">
        <v>6.071E-2</v>
      </c>
    </row>
    <row r="22" spans="1:3">
      <c r="A22">
        <v>2018</v>
      </c>
      <c r="B22">
        <v>2.1350000000000001E-2</v>
      </c>
      <c r="C22">
        <v>6.5500000000000003E-3</v>
      </c>
    </row>
    <row r="23" spans="1:3">
      <c r="A23">
        <v>2018</v>
      </c>
      <c r="B23">
        <v>2.1350000000000001E-2</v>
      </c>
      <c r="C23">
        <v>1.039E-2</v>
      </c>
    </row>
    <row r="24" spans="1:3">
      <c r="A24">
        <v>2018</v>
      </c>
      <c r="B24">
        <v>2.1350000000000001E-2</v>
      </c>
      <c r="C24">
        <v>6.7099999999999998E-3</v>
      </c>
    </row>
    <row r="25" spans="1:3">
      <c r="A25">
        <v>2018</v>
      </c>
      <c r="B25">
        <v>2.1350000000000001E-2</v>
      </c>
      <c r="C25">
        <v>7.0299999999999998E-3</v>
      </c>
    </row>
    <row r="26" spans="1:3">
      <c r="A26">
        <v>2018</v>
      </c>
      <c r="B26">
        <v>6.5089999999999995E-2</v>
      </c>
      <c r="C26">
        <v>0.73750000000000004</v>
      </c>
    </row>
    <row r="27" spans="1:3">
      <c r="A27">
        <v>2018</v>
      </c>
      <c r="B27">
        <v>6.5089999999999995E-2</v>
      </c>
      <c r="C27">
        <v>6.071E-2</v>
      </c>
    </row>
    <row r="28" spans="1:3">
      <c r="A28">
        <v>2018</v>
      </c>
      <c r="B28">
        <v>6.5089999999999995E-2</v>
      </c>
      <c r="C28">
        <v>6.5500000000000003E-3</v>
      </c>
    </row>
    <row r="29" spans="1:3">
      <c r="A29">
        <v>2018</v>
      </c>
      <c r="B29">
        <v>6.5089999999999995E-2</v>
      </c>
      <c r="C29">
        <v>1.039E-2</v>
      </c>
    </row>
    <row r="30" spans="1:3">
      <c r="A30">
        <v>2018</v>
      </c>
      <c r="B30">
        <v>6.5089999999999995E-2</v>
      </c>
      <c r="C30">
        <v>6.7099999999999998E-3</v>
      </c>
    </row>
    <row r="31" spans="1:3">
      <c r="A31">
        <v>2018</v>
      </c>
      <c r="B31">
        <v>6.5089999999999995E-2</v>
      </c>
      <c r="C31">
        <v>7.0299999999999998E-3</v>
      </c>
    </row>
    <row r="32" spans="1:3">
      <c r="A32">
        <v>2018</v>
      </c>
      <c r="B32">
        <v>5.0800000000000003E-3</v>
      </c>
      <c r="C32">
        <v>0.73750000000000004</v>
      </c>
    </row>
    <row r="33" spans="1:3">
      <c r="A33">
        <v>2018</v>
      </c>
      <c r="B33">
        <v>5.0800000000000003E-3</v>
      </c>
      <c r="C33">
        <v>6.071E-2</v>
      </c>
    </row>
    <row r="34" spans="1:3">
      <c r="A34">
        <v>2018</v>
      </c>
      <c r="B34">
        <v>5.0800000000000003E-3</v>
      </c>
      <c r="C34">
        <v>6.5500000000000003E-3</v>
      </c>
    </row>
    <row r="35" spans="1:3">
      <c r="A35">
        <v>2018</v>
      </c>
      <c r="B35">
        <v>5.0800000000000003E-3</v>
      </c>
      <c r="C35">
        <v>1.039E-2</v>
      </c>
    </row>
    <row r="36" spans="1:3">
      <c r="A36">
        <v>2018</v>
      </c>
      <c r="B36">
        <v>5.0800000000000003E-3</v>
      </c>
      <c r="C36">
        <v>6.7099999999999998E-3</v>
      </c>
    </row>
    <row r="37" spans="1:3">
      <c r="A37">
        <v>2018</v>
      </c>
      <c r="B37">
        <v>5.0800000000000003E-3</v>
      </c>
      <c r="C37">
        <v>7.0299999999999998E-3</v>
      </c>
    </row>
    <row r="38" spans="1:3">
      <c r="A38">
        <v>2018</v>
      </c>
      <c r="B38">
        <v>2.001E-2</v>
      </c>
      <c r="C38">
        <v>0.73750000000000004</v>
      </c>
    </row>
    <row r="39" spans="1:3">
      <c r="A39">
        <v>2018</v>
      </c>
      <c r="B39">
        <v>2.001E-2</v>
      </c>
      <c r="C39">
        <v>6.071E-2</v>
      </c>
    </row>
    <row r="40" spans="1:3">
      <c r="A40">
        <v>2018</v>
      </c>
      <c r="B40">
        <v>2.001E-2</v>
      </c>
      <c r="C40">
        <v>6.5500000000000003E-3</v>
      </c>
    </row>
    <row r="41" spans="1:3">
      <c r="A41">
        <v>2018</v>
      </c>
      <c r="B41">
        <v>2.001E-2</v>
      </c>
      <c r="C41">
        <v>1.039E-2</v>
      </c>
    </row>
    <row r="42" spans="1:3">
      <c r="A42">
        <v>2018</v>
      </c>
      <c r="B42">
        <v>2.001E-2</v>
      </c>
      <c r="C42">
        <v>6.7099999999999998E-3</v>
      </c>
    </row>
    <row r="43" spans="1:3">
      <c r="A43">
        <v>2018</v>
      </c>
      <c r="B43">
        <v>2.001E-2</v>
      </c>
      <c r="C43">
        <v>7.0299999999999998E-3</v>
      </c>
    </row>
    <row r="44" spans="1:3">
      <c r="A44">
        <v>2018</v>
      </c>
      <c r="B44">
        <v>8.8100000000000001E-3</v>
      </c>
      <c r="C44">
        <v>0.73750000000000004</v>
      </c>
    </row>
    <row r="45" spans="1:3">
      <c r="A45">
        <v>2018</v>
      </c>
      <c r="B45">
        <v>8.8100000000000001E-3</v>
      </c>
      <c r="C45">
        <v>6.071E-2</v>
      </c>
    </row>
    <row r="46" spans="1:3">
      <c r="A46">
        <v>2018</v>
      </c>
      <c r="B46">
        <v>8.8100000000000001E-3</v>
      </c>
      <c r="C46">
        <v>6.5500000000000003E-3</v>
      </c>
    </row>
    <row r="47" spans="1:3">
      <c r="A47">
        <v>2018</v>
      </c>
      <c r="B47">
        <v>8.8100000000000001E-3</v>
      </c>
      <c r="C47">
        <v>1.039E-2</v>
      </c>
    </row>
    <row r="48" spans="1:3">
      <c r="A48">
        <v>2018</v>
      </c>
      <c r="B48">
        <v>8.8100000000000001E-3</v>
      </c>
      <c r="C48">
        <v>6.7099999999999998E-3</v>
      </c>
    </row>
    <row r="49" spans="1:3">
      <c r="A49">
        <v>2018</v>
      </c>
      <c r="B49">
        <v>8.8100000000000001E-3</v>
      </c>
      <c r="C49">
        <v>7.0299999999999998E-3</v>
      </c>
    </row>
    <row r="50" spans="1:3">
      <c r="A50">
        <v>2018</v>
      </c>
      <c r="B50">
        <v>2.5080000000000002E-2</v>
      </c>
      <c r="C50">
        <v>0.73750000000000004</v>
      </c>
    </row>
    <row r="51" spans="1:3">
      <c r="A51">
        <v>2018</v>
      </c>
      <c r="B51">
        <v>2.5080000000000002E-2</v>
      </c>
      <c r="C51">
        <v>6.071E-2</v>
      </c>
    </row>
    <row r="52" spans="1:3">
      <c r="A52">
        <v>2018</v>
      </c>
      <c r="B52">
        <v>2.5080000000000002E-2</v>
      </c>
      <c r="C52">
        <v>6.5500000000000003E-3</v>
      </c>
    </row>
    <row r="53" spans="1:3">
      <c r="A53">
        <v>2018</v>
      </c>
      <c r="B53">
        <v>2.5080000000000002E-2</v>
      </c>
      <c r="C53">
        <v>1.039E-2</v>
      </c>
    </row>
    <row r="54" spans="1:3">
      <c r="A54">
        <v>2018</v>
      </c>
      <c r="B54">
        <v>2.5080000000000002E-2</v>
      </c>
      <c r="C54">
        <v>6.7099999999999998E-3</v>
      </c>
    </row>
    <row r="55" spans="1:3">
      <c r="A55">
        <v>2018</v>
      </c>
      <c r="B55">
        <v>2.5080000000000002E-2</v>
      </c>
      <c r="C55">
        <v>7.0299999999999998E-3</v>
      </c>
    </row>
    <row r="56" spans="1:3">
      <c r="A56">
        <v>2018</v>
      </c>
      <c r="B56">
        <v>0.11765</v>
      </c>
      <c r="C56">
        <v>0.73750000000000004</v>
      </c>
    </row>
    <row r="57" spans="1:3">
      <c r="A57">
        <v>2018</v>
      </c>
      <c r="B57">
        <v>0.11765</v>
      </c>
      <c r="C57">
        <v>6.071E-2</v>
      </c>
    </row>
    <row r="58" spans="1:3">
      <c r="A58">
        <v>2018</v>
      </c>
      <c r="B58">
        <v>0.11765</v>
      </c>
      <c r="C58">
        <v>6.5500000000000003E-3</v>
      </c>
    </row>
    <row r="59" spans="1:3">
      <c r="A59">
        <v>2018</v>
      </c>
      <c r="B59">
        <v>0.11765</v>
      </c>
      <c r="C59">
        <v>1.039E-2</v>
      </c>
    </row>
    <row r="60" spans="1:3">
      <c r="A60">
        <v>2018</v>
      </c>
      <c r="B60">
        <v>0.11765</v>
      </c>
      <c r="C60">
        <v>6.7099999999999998E-3</v>
      </c>
    </row>
    <row r="61" spans="1:3">
      <c r="A61">
        <v>2018</v>
      </c>
      <c r="B61">
        <v>0.11765</v>
      </c>
      <c r="C61">
        <v>7.0299999999999998E-3</v>
      </c>
    </row>
    <row r="62" spans="1:3">
      <c r="A62">
        <v>2019</v>
      </c>
      <c r="B62">
        <v>2.9860000000000001E-2</v>
      </c>
      <c r="C62">
        <v>0.71097999999999995</v>
      </c>
    </row>
    <row r="63" spans="1:3">
      <c r="A63">
        <v>2019</v>
      </c>
      <c r="B63">
        <v>2.9860000000000001E-2</v>
      </c>
      <c r="C63">
        <v>7.7649999999999997E-2</v>
      </c>
    </row>
    <row r="64" spans="1:3">
      <c r="A64">
        <v>2019</v>
      </c>
      <c r="B64">
        <v>2.9860000000000001E-2</v>
      </c>
      <c r="C64">
        <v>2.0930000000000001E-2</v>
      </c>
    </row>
    <row r="65" spans="1:3">
      <c r="A65">
        <v>2019</v>
      </c>
      <c r="B65">
        <v>2.9860000000000001E-2</v>
      </c>
      <c r="C65">
        <v>7.1900000000000002E-3</v>
      </c>
    </row>
    <row r="66" spans="1:3">
      <c r="A66">
        <v>2019</v>
      </c>
      <c r="B66">
        <v>2.9860000000000001E-2</v>
      </c>
      <c r="C66">
        <v>9.5899999999999996E-3</v>
      </c>
    </row>
    <row r="67" spans="1:3">
      <c r="A67">
        <v>2019</v>
      </c>
      <c r="B67">
        <v>2.9860000000000001E-2</v>
      </c>
      <c r="C67">
        <v>1.1339999999999999E-2</v>
      </c>
    </row>
    <row r="68" spans="1:3">
      <c r="A68">
        <v>2019</v>
      </c>
      <c r="B68">
        <v>0.26112000000000002</v>
      </c>
      <c r="C68">
        <v>0.71097999999999995</v>
      </c>
    </row>
    <row r="69" spans="1:3">
      <c r="A69">
        <v>2019</v>
      </c>
      <c r="B69">
        <v>0.26112000000000002</v>
      </c>
      <c r="C69">
        <v>7.7649999999999997E-2</v>
      </c>
    </row>
    <row r="70" spans="1:3">
      <c r="A70">
        <v>2019</v>
      </c>
      <c r="B70">
        <v>0.26112000000000002</v>
      </c>
      <c r="C70">
        <v>2.0930000000000001E-2</v>
      </c>
    </row>
    <row r="71" spans="1:3">
      <c r="A71">
        <v>2019</v>
      </c>
      <c r="B71">
        <v>0.26112000000000002</v>
      </c>
      <c r="C71">
        <v>7.1900000000000002E-3</v>
      </c>
    </row>
    <row r="72" spans="1:3">
      <c r="A72">
        <v>2019</v>
      </c>
      <c r="B72">
        <v>0.26112000000000002</v>
      </c>
      <c r="C72">
        <v>9.5899999999999996E-3</v>
      </c>
    </row>
    <row r="73" spans="1:3">
      <c r="A73">
        <v>2019</v>
      </c>
      <c r="B73">
        <v>0.26112000000000002</v>
      </c>
      <c r="C73">
        <v>1.1339999999999999E-2</v>
      </c>
    </row>
    <row r="74" spans="1:3">
      <c r="A74">
        <v>2019</v>
      </c>
      <c r="B74">
        <v>0.26917999999999997</v>
      </c>
      <c r="C74">
        <v>0.71097999999999995</v>
      </c>
    </row>
    <row r="75" spans="1:3">
      <c r="A75">
        <v>2019</v>
      </c>
      <c r="B75">
        <v>0.26917999999999997</v>
      </c>
      <c r="C75">
        <v>7.7649999999999997E-2</v>
      </c>
    </row>
    <row r="76" spans="1:3">
      <c r="A76">
        <v>2019</v>
      </c>
      <c r="B76">
        <v>0.26917999999999997</v>
      </c>
      <c r="C76">
        <v>2.0930000000000001E-2</v>
      </c>
    </row>
    <row r="77" spans="1:3">
      <c r="A77">
        <v>2019</v>
      </c>
      <c r="B77">
        <v>0.26917999999999997</v>
      </c>
      <c r="C77">
        <v>7.1900000000000002E-3</v>
      </c>
    </row>
    <row r="78" spans="1:3">
      <c r="A78">
        <v>2019</v>
      </c>
      <c r="B78">
        <v>0.26917999999999997</v>
      </c>
      <c r="C78">
        <v>9.5899999999999996E-3</v>
      </c>
    </row>
    <row r="79" spans="1:3">
      <c r="A79">
        <v>2019</v>
      </c>
      <c r="B79">
        <v>0.26917999999999997</v>
      </c>
      <c r="C79">
        <v>1.1339999999999999E-2</v>
      </c>
    </row>
    <row r="80" spans="1:3">
      <c r="A80">
        <v>2019</v>
      </c>
      <c r="B80">
        <v>1.627E-2</v>
      </c>
      <c r="C80">
        <v>0.71097999999999995</v>
      </c>
    </row>
    <row r="81" spans="1:3">
      <c r="A81">
        <v>2019</v>
      </c>
      <c r="B81">
        <v>1.627E-2</v>
      </c>
      <c r="C81">
        <v>7.7649999999999997E-2</v>
      </c>
    </row>
    <row r="82" spans="1:3">
      <c r="A82">
        <v>2019</v>
      </c>
      <c r="B82">
        <v>1.627E-2</v>
      </c>
      <c r="C82">
        <v>2.0930000000000001E-2</v>
      </c>
    </row>
    <row r="83" spans="1:3">
      <c r="A83">
        <v>2019</v>
      </c>
      <c r="B83">
        <v>1.627E-2</v>
      </c>
      <c r="C83">
        <v>7.1900000000000002E-3</v>
      </c>
    </row>
    <row r="84" spans="1:3">
      <c r="A84">
        <v>2019</v>
      </c>
      <c r="B84">
        <v>1.627E-2</v>
      </c>
      <c r="C84">
        <v>9.5899999999999996E-3</v>
      </c>
    </row>
    <row r="85" spans="1:3">
      <c r="A85">
        <v>2019</v>
      </c>
      <c r="B85">
        <v>1.627E-2</v>
      </c>
      <c r="C85">
        <v>1.1339999999999999E-2</v>
      </c>
    </row>
    <row r="86" spans="1:3">
      <c r="A86">
        <v>2019</v>
      </c>
      <c r="B86">
        <v>6.5390000000000004E-2</v>
      </c>
      <c r="C86">
        <v>0.71097999999999995</v>
      </c>
    </row>
    <row r="87" spans="1:3">
      <c r="A87">
        <v>2019</v>
      </c>
      <c r="B87">
        <v>6.5390000000000004E-2</v>
      </c>
      <c r="C87">
        <v>7.7649999999999997E-2</v>
      </c>
    </row>
    <row r="88" spans="1:3">
      <c r="A88">
        <v>2019</v>
      </c>
      <c r="B88">
        <v>6.5390000000000004E-2</v>
      </c>
      <c r="C88">
        <v>2.0930000000000001E-2</v>
      </c>
    </row>
    <row r="89" spans="1:3">
      <c r="A89">
        <v>2019</v>
      </c>
      <c r="B89">
        <v>6.5390000000000004E-2</v>
      </c>
      <c r="C89">
        <v>7.1900000000000002E-3</v>
      </c>
    </row>
    <row r="90" spans="1:3">
      <c r="A90">
        <v>2019</v>
      </c>
      <c r="B90">
        <v>6.5390000000000004E-2</v>
      </c>
      <c r="C90">
        <v>9.5899999999999996E-3</v>
      </c>
    </row>
    <row r="91" spans="1:3">
      <c r="A91">
        <v>2019</v>
      </c>
      <c r="B91">
        <v>6.5390000000000004E-2</v>
      </c>
      <c r="C91">
        <v>1.1339999999999999E-2</v>
      </c>
    </row>
    <row r="92" spans="1:3">
      <c r="A92">
        <v>2019</v>
      </c>
      <c r="B92">
        <v>4.0299999999999997E-3</v>
      </c>
      <c r="C92">
        <v>0.71097999999999995</v>
      </c>
    </row>
    <row r="93" spans="1:3">
      <c r="A93">
        <v>2019</v>
      </c>
      <c r="B93">
        <v>4.0299999999999997E-3</v>
      </c>
      <c r="C93">
        <v>7.7649999999999997E-2</v>
      </c>
    </row>
    <row r="94" spans="1:3">
      <c r="A94">
        <v>2019</v>
      </c>
      <c r="B94">
        <v>4.0299999999999997E-3</v>
      </c>
      <c r="C94">
        <v>2.0930000000000001E-2</v>
      </c>
    </row>
    <row r="95" spans="1:3">
      <c r="A95">
        <v>2019</v>
      </c>
      <c r="B95">
        <v>4.0299999999999997E-3</v>
      </c>
      <c r="C95">
        <v>7.1900000000000002E-3</v>
      </c>
    </row>
    <row r="96" spans="1:3">
      <c r="A96">
        <v>2019</v>
      </c>
      <c r="B96">
        <v>4.0299999999999997E-3</v>
      </c>
      <c r="C96">
        <v>9.5899999999999996E-3</v>
      </c>
    </row>
    <row r="97" spans="1:3">
      <c r="A97">
        <v>2019</v>
      </c>
      <c r="B97">
        <v>4.0299999999999997E-3</v>
      </c>
      <c r="C97">
        <v>1.1339999999999999E-2</v>
      </c>
    </row>
    <row r="98" spans="1:3">
      <c r="A98">
        <v>2019</v>
      </c>
      <c r="B98">
        <v>1.6719999999999999E-2</v>
      </c>
      <c r="C98">
        <v>0.71097999999999995</v>
      </c>
    </row>
    <row r="99" spans="1:3">
      <c r="A99">
        <v>2019</v>
      </c>
      <c r="B99">
        <v>1.6719999999999999E-2</v>
      </c>
      <c r="C99">
        <v>7.7649999999999997E-2</v>
      </c>
    </row>
    <row r="100" spans="1:3">
      <c r="A100">
        <v>2019</v>
      </c>
      <c r="B100">
        <v>1.6719999999999999E-2</v>
      </c>
      <c r="C100">
        <v>2.0930000000000001E-2</v>
      </c>
    </row>
    <row r="101" spans="1:3">
      <c r="A101">
        <v>2019</v>
      </c>
      <c r="B101">
        <v>1.6719999999999999E-2</v>
      </c>
      <c r="C101">
        <v>7.1900000000000002E-3</v>
      </c>
    </row>
    <row r="102" spans="1:3">
      <c r="A102">
        <v>2019</v>
      </c>
      <c r="B102">
        <v>1.6719999999999999E-2</v>
      </c>
      <c r="C102">
        <v>9.5899999999999996E-3</v>
      </c>
    </row>
    <row r="103" spans="1:3">
      <c r="A103">
        <v>2019</v>
      </c>
      <c r="B103">
        <v>1.6719999999999999E-2</v>
      </c>
      <c r="C103">
        <v>1.1339999999999999E-2</v>
      </c>
    </row>
    <row r="104" spans="1:3">
      <c r="A104">
        <v>2019</v>
      </c>
      <c r="B104">
        <v>7.4599999999999996E-3</v>
      </c>
      <c r="C104">
        <v>0.71097999999999995</v>
      </c>
    </row>
    <row r="105" spans="1:3">
      <c r="A105">
        <v>2019</v>
      </c>
      <c r="B105">
        <v>7.4599999999999996E-3</v>
      </c>
      <c r="C105">
        <v>7.7649999999999997E-2</v>
      </c>
    </row>
    <row r="106" spans="1:3">
      <c r="A106">
        <v>2019</v>
      </c>
      <c r="B106">
        <v>7.4599999999999996E-3</v>
      </c>
      <c r="C106">
        <v>2.0930000000000001E-2</v>
      </c>
    </row>
    <row r="107" spans="1:3">
      <c r="A107">
        <v>2019</v>
      </c>
      <c r="B107">
        <v>7.4599999999999996E-3</v>
      </c>
      <c r="C107">
        <v>7.1900000000000002E-3</v>
      </c>
    </row>
    <row r="108" spans="1:3">
      <c r="A108">
        <v>2019</v>
      </c>
      <c r="B108">
        <v>7.4599999999999996E-3</v>
      </c>
      <c r="C108">
        <v>9.5899999999999996E-3</v>
      </c>
    </row>
    <row r="109" spans="1:3">
      <c r="A109">
        <v>2019</v>
      </c>
      <c r="B109">
        <v>7.4599999999999996E-3</v>
      </c>
      <c r="C109">
        <v>1.1339999999999999E-2</v>
      </c>
    </row>
    <row r="110" spans="1:3">
      <c r="A110">
        <v>2019</v>
      </c>
      <c r="B110">
        <v>3.3140000000000003E-2</v>
      </c>
      <c r="C110">
        <v>0.71097999999999995</v>
      </c>
    </row>
    <row r="111" spans="1:3">
      <c r="A111">
        <v>2019</v>
      </c>
      <c r="B111">
        <v>3.3140000000000003E-2</v>
      </c>
      <c r="C111">
        <v>7.7649999999999997E-2</v>
      </c>
    </row>
    <row r="112" spans="1:3">
      <c r="A112">
        <v>2019</v>
      </c>
      <c r="B112">
        <v>3.3140000000000003E-2</v>
      </c>
      <c r="C112">
        <v>2.0930000000000001E-2</v>
      </c>
    </row>
    <row r="113" spans="1:3">
      <c r="A113">
        <v>2019</v>
      </c>
      <c r="B113">
        <v>3.3140000000000003E-2</v>
      </c>
      <c r="C113">
        <v>7.1900000000000002E-3</v>
      </c>
    </row>
    <row r="114" spans="1:3">
      <c r="A114">
        <v>2019</v>
      </c>
      <c r="B114">
        <v>3.3140000000000003E-2</v>
      </c>
      <c r="C114">
        <v>9.5899999999999996E-3</v>
      </c>
    </row>
    <row r="115" spans="1:3">
      <c r="A115">
        <v>2019</v>
      </c>
      <c r="B115">
        <v>3.3140000000000003E-2</v>
      </c>
      <c r="C115">
        <v>1.1339999999999999E-2</v>
      </c>
    </row>
    <row r="116" spans="1:3">
      <c r="A116">
        <v>2019</v>
      </c>
      <c r="B116">
        <v>0.1593</v>
      </c>
      <c r="C116">
        <v>0.71097999999999995</v>
      </c>
    </row>
    <row r="117" spans="1:3">
      <c r="A117">
        <v>2019</v>
      </c>
      <c r="B117">
        <v>0.1593</v>
      </c>
      <c r="C117">
        <v>7.7649999999999997E-2</v>
      </c>
    </row>
    <row r="118" spans="1:3">
      <c r="A118">
        <v>2019</v>
      </c>
      <c r="B118">
        <v>0.1593</v>
      </c>
      <c r="C118">
        <v>2.0930000000000001E-2</v>
      </c>
    </row>
    <row r="119" spans="1:3">
      <c r="A119">
        <v>2019</v>
      </c>
      <c r="B119">
        <v>0.1593</v>
      </c>
      <c r="C119">
        <v>7.1900000000000002E-3</v>
      </c>
    </row>
    <row r="120" spans="1:3">
      <c r="A120">
        <v>2019</v>
      </c>
      <c r="B120">
        <v>0.1593</v>
      </c>
      <c r="C120">
        <v>9.5899999999999996E-3</v>
      </c>
    </row>
    <row r="121" spans="1:3">
      <c r="A121">
        <v>2019</v>
      </c>
      <c r="B121">
        <v>0.1593</v>
      </c>
      <c r="C121">
        <v>1.1339999999999999E-2</v>
      </c>
    </row>
    <row r="122" spans="1:3">
      <c r="A122">
        <v>2020</v>
      </c>
      <c r="B122">
        <v>3.2989999999999998E-2</v>
      </c>
      <c r="C122">
        <v>0.87953000000000003</v>
      </c>
    </row>
    <row r="123" spans="1:3">
      <c r="A123">
        <v>2020</v>
      </c>
      <c r="B123">
        <v>3.2989999999999998E-2</v>
      </c>
      <c r="C123">
        <v>8.3239999999999995E-2</v>
      </c>
    </row>
    <row r="124" spans="1:3">
      <c r="A124">
        <v>2020</v>
      </c>
      <c r="B124">
        <v>3.2989999999999998E-2</v>
      </c>
      <c r="C124">
        <v>1.47E-2</v>
      </c>
    </row>
    <row r="125" spans="1:3">
      <c r="A125">
        <v>2020</v>
      </c>
      <c r="B125">
        <v>3.2989999999999998E-2</v>
      </c>
      <c r="C125">
        <v>5.9100000000000003E-3</v>
      </c>
    </row>
    <row r="126" spans="1:3">
      <c r="A126">
        <v>2020</v>
      </c>
      <c r="B126">
        <v>3.2989999999999998E-2</v>
      </c>
      <c r="C126">
        <v>6.2300000000000003E-3</v>
      </c>
    </row>
    <row r="127" spans="1:3">
      <c r="A127">
        <v>2020</v>
      </c>
      <c r="B127">
        <v>3.2989999999999998E-2</v>
      </c>
      <c r="C127">
        <v>1.039E-2</v>
      </c>
    </row>
    <row r="128" spans="1:3">
      <c r="A128">
        <v>2020</v>
      </c>
      <c r="B128">
        <v>0.31651000000000001</v>
      </c>
      <c r="C128">
        <v>0.87953000000000003</v>
      </c>
    </row>
    <row r="129" spans="1:3">
      <c r="A129">
        <v>2020</v>
      </c>
      <c r="B129">
        <v>0.31651000000000001</v>
      </c>
      <c r="C129">
        <v>8.3239999999999995E-2</v>
      </c>
    </row>
    <row r="130" spans="1:3">
      <c r="A130">
        <v>2020</v>
      </c>
      <c r="B130">
        <v>0.31651000000000001</v>
      </c>
      <c r="C130">
        <v>1.47E-2</v>
      </c>
    </row>
    <row r="131" spans="1:3">
      <c r="A131">
        <v>2020</v>
      </c>
      <c r="B131">
        <v>0.31651000000000001</v>
      </c>
      <c r="C131">
        <v>5.9100000000000003E-3</v>
      </c>
    </row>
    <row r="132" spans="1:3">
      <c r="A132">
        <v>2020</v>
      </c>
      <c r="B132">
        <v>0.31651000000000001</v>
      </c>
      <c r="C132">
        <v>6.2300000000000003E-3</v>
      </c>
    </row>
    <row r="133" spans="1:3">
      <c r="A133">
        <v>2020</v>
      </c>
      <c r="B133">
        <v>0.31651000000000001</v>
      </c>
      <c r="C133">
        <v>1.039E-2</v>
      </c>
    </row>
    <row r="134" spans="1:3">
      <c r="A134">
        <v>2020</v>
      </c>
      <c r="B134">
        <v>0.34159</v>
      </c>
      <c r="C134">
        <v>0.87953000000000003</v>
      </c>
    </row>
    <row r="135" spans="1:3">
      <c r="A135">
        <v>2020</v>
      </c>
      <c r="B135">
        <v>0.34159</v>
      </c>
      <c r="C135">
        <v>8.3239999999999995E-2</v>
      </c>
    </row>
    <row r="136" spans="1:3">
      <c r="A136">
        <v>2020</v>
      </c>
      <c r="B136">
        <v>0.34159</v>
      </c>
      <c r="C136">
        <v>1.47E-2</v>
      </c>
    </row>
    <row r="137" spans="1:3">
      <c r="A137">
        <v>2020</v>
      </c>
      <c r="B137">
        <v>0.34159</v>
      </c>
      <c r="C137">
        <v>5.9100000000000003E-3</v>
      </c>
    </row>
    <row r="138" spans="1:3">
      <c r="A138">
        <v>2020</v>
      </c>
      <c r="B138">
        <v>0.34159</v>
      </c>
      <c r="C138">
        <v>6.2300000000000003E-3</v>
      </c>
    </row>
    <row r="139" spans="1:3">
      <c r="A139">
        <v>2020</v>
      </c>
      <c r="B139">
        <v>0.34159</v>
      </c>
      <c r="C139">
        <v>1.039E-2</v>
      </c>
    </row>
    <row r="140" spans="1:3">
      <c r="A140">
        <v>2020</v>
      </c>
      <c r="B140">
        <v>1.8360000000000001E-2</v>
      </c>
      <c r="C140">
        <v>0.87953000000000003</v>
      </c>
    </row>
    <row r="141" spans="1:3">
      <c r="A141">
        <v>2020</v>
      </c>
      <c r="B141">
        <v>1.8360000000000001E-2</v>
      </c>
      <c r="C141">
        <v>8.3239999999999995E-2</v>
      </c>
    </row>
    <row r="142" spans="1:3">
      <c r="A142">
        <v>2020</v>
      </c>
      <c r="B142">
        <v>1.8360000000000001E-2</v>
      </c>
      <c r="C142">
        <v>1.47E-2</v>
      </c>
    </row>
    <row r="143" spans="1:3">
      <c r="A143">
        <v>2020</v>
      </c>
      <c r="B143">
        <v>1.8360000000000001E-2</v>
      </c>
      <c r="C143">
        <v>5.9100000000000003E-3</v>
      </c>
    </row>
    <row r="144" spans="1:3">
      <c r="A144">
        <v>2020</v>
      </c>
      <c r="B144">
        <v>1.8360000000000001E-2</v>
      </c>
      <c r="C144">
        <v>6.2300000000000003E-3</v>
      </c>
    </row>
    <row r="145" spans="1:3">
      <c r="A145">
        <v>2020</v>
      </c>
      <c r="B145">
        <v>1.8360000000000001E-2</v>
      </c>
      <c r="C145">
        <v>1.039E-2</v>
      </c>
    </row>
    <row r="146" spans="1:3">
      <c r="A146">
        <v>2020</v>
      </c>
      <c r="B146">
        <v>8.7940000000000004E-2</v>
      </c>
      <c r="C146">
        <v>0.87953000000000003</v>
      </c>
    </row>
    <row r="147" spans="1:3">
      <c r="A147">
        <v>2020</v>
      </c>
      <c r="B147">
        <v>8.7940000000000004E-2</v>
      </c>
      <c r="C147">
        <v>8.3239999999999995E-2</v>
      </c>
    </row>
    <row r="148" spans="1:3">
      <c r="A148">
        <v>2020</v>
      </c>
      <c r="B148">
        <v>8.7940000000000004E-2</v>
      </c>
      <c r="C148">
        <v>1.47E-2</v>
      </c>
    </row>
    <row r="149" spans="1:3">
      <c r="A149">
        <v>2020</v>
      </c>
      <c r="B149">
        <v>8.7940000000000004E-2</v>
      </c>
      <c r="C149">
        <v>5.9100000000000003E-3</v>
      </c>
    </row>
    <row r="150" spans="1:3">
      <c r="A150">
        <v>2020</v>
      </c>
      <c r="B150">
        <v>8.7940000000000004E-2</v>
      </c>
      <c r="C150">
        <v>6.2300000000000003E-3</v>
      </c>
    </row>
    <row r="151" spans="1:3">
      <c r="A151">
        <v>2020</v>
      </c>
      <c r="B151">
        <v>8.7940000000000004E-2</v>
      </c>
      <c r="C151">
        <v>1.039E-2</v>
      </c>
    </row>
    <row r="152" spans="1:3">
      <c r="A152">
        <v>2020</v>
      </c>
      <c r="B152">
        <v>4.1799999999999997E-3</v>
      </c>
      <c r="C152">
        <v>0.87953000000000003</v>
      </c>
    </row>
    <row r="153" spans="1:3">
      <c r="A153">
        <v>2020</v>
      </c>
      <c r="B153">
        <v>4.1799999999999997E-3</v>
      </c>
      <c r="C153">
        <v>8.3239999999999995E-2</v>
      </c>
    </row>
    <row r="154" spans="1:3">
      <c r="A154">
        <v>2020</v>
      </c>
      <c r="B154">
        <v>4.1799999999999997E-3</v>
      </c>
      <c r="C154">
        <v>1.47E-2</v>
      </c>
    </row>
    <row r="155" spans="1:3">
      <c r="A155">
        <v>2020</v>
      </c>
      <c r="B155">
        <v>4.1799999999999997E-3</v>
      </c>
      <c r="C155">
        <v>5.9100000000000003E-3</v>
      </c>
    </row>
    <row r="156" spans="1:3">
      <c r="A156">
        <v>2020</v>
      </c>
      <c r="B156">
        <v>4.1799999999999997E-3</v>
      </c>
      <c r="C156">
        <v>6.2300000000000003E-3</v>
      </c>
    </row>
    <row r="157" spans="1:3">
      <c r="A157">
        <v>2020</v>
      </c>
      <c r="B157">
        <v>4.1799999999999997E-3</v>
      </c>
      <c r="C157">
        <v>1.039E-2</v>
      </c>
    </row>
    <row r="158" spans="1:3">
      <c r="A158">
        <v>2020</v>
      </c>
      <c r="B158">
        <v>2.5080000000000002E-2</v>
      </c>
      <c r="C158">
        <v>0.87953000000000003</v>
      </c>
    </row>
    <row r="159" spans="1:3">
      <c r="A159">
        <v>2020</v>
      </c>
      <c r="B159">
        <v>2.5080000000000002E-2</v>
      </c>
      <c r="C159">
        <v>8.3239999999999995E-2</v>
      </c>
    </row>
    <row r="160" spans="1:3">
      <c r="A160">
        <v>2020</v>
      </c>
      <c r="B160">
        <v>2.5080000000000002E-2</v>
      </c>
      <c r="C160">
        <v>1.47E-2</v>
      </c>
    </row>
    <row r="161" spans="1:3">
      <c r="A161">
        <v>2020</v>
      </c>
      <c r="B161">
        <v>2.5080000000000002E-2</v>
      </c>
      <c r="C161">
        <v>5.9100000000000003E-3</v>
      </c>
    </row>
    <row r="162" spans="1:3">
      <c r="A162">
        <v>2020</v>
      </c>
      <c r="B162">
        <v>2.5080000000000002E-2</v>
      </c>
      <c r="C162">
        <v>6.2300000000000003E-3</v>
      </c>
    </row>
    <row r="163" spans="1:3">
      <c r="A163">
        <v>2020</v>
      </c>
      <c r="B163">
        <v>2.5080000000000002E-2</v>
      </c>
      <c r="C163">
        <v>1.039E-2</v>
      </c>
    </row>
    <row r="164" spans="1:3">
      <c r="A164">
        <v>2020</v>
      </c>
      <c r="B164">
        <v>9.5600000000000008E-3</v>
      </c>
      <c r="C164">
        <v>0.87953000000000003</v>
      </c>
    </row>
    <row r="165" spans="1:3">
      <c r="A165">
        <v>2020</v>
      </c>
      <c r="B165">
        <v>9.5600000000000008E-3</v>
      </c>
      <c r="C165">
        <v>8.3239999999999995E-2</v>
      </c>
    </row>
    <row r="166" spans="1:3">
      <c r="A166">
        <v>2020</v>
      </c>
      <c r="B166">
        <v>9.5600000000000008E-3</v>
      </c>
      <c r="C166">
        <v>1.47E-2</v>
      </c>
    </row>
    <row r="167" spans="1:3">
      <c r="A167">
        <v>2020</v>
      </c>
      <c r="B167">
        <v>9.5600000000000008E-3</v>
      </c>
      <c r="C167">
        <v>5.9100000000000003E-3</v>
      </c>
    </row>
    <row r="168" spans="1:3">
      <c r="A168">
        <v>2020</v>
      </c>
      <c r="B168">
        <v>9.5600000000000008E-3</v>
      </c>
      <c r="C168">
        <v>6.2300000000000003E-3</v>
      </c>
    </row>
    <row r="169" spans="1:3">
      <c r="A169">
        <v>2020</v>
      </c>
      <c r="B169">
        <v>9.5600000000000008E-3</v>
      </c>
      <c r="C169">
        <v>1.039E-2</v>
      </c>
    </row>
    <row r="170" spans="1:3">
      <c r="A170">
        <v>2020</v>
      </c>
      <c r="B170">
        <v>3.329E-2</v>
      </c>
      <c r="C170">
        <v>0.87953000000000003</v>
      </c>
    </row>
    <row r="171" spans="1:3">
      <c r="A171">
        <v>2020</v>
      </c>
      <c r="B171">
        <v>3.329E-2</v>
      </c>
      <c r="C171">
        <v>8.3239999999999995E-2</v>
      </c>
    </row>
    <row r="172" spans="1:3">
      <c r="A172">
        <v>2020</v>
      </c>
      <c r="B172">
        <v>3.329E-2</v>
      </c>
      <c r="C172">
        <v>1.47E-2</v>
      </c>
    </row>
    <row r="173" spans="1:3">
      <c r="A173">
        <v>2020</v>
      </c>
      <c r="B173">
        <v>3.329E-2</v>
      </c>
      <c r="C173">
        <v>5.9100000000000003E-3</v>
      </c>
    </row>
    <row r="174" spans="1:3">
      <c r="A174">
        <v>2020</v>
      </c>
      <c r="B174">
        <v>3.329E-2</v>
      </c>
      <c r="C174">
        <v>6.2300000000000003E-3</v>
      </c>
    </row>
    <row r="175" spans="1:3">
      <c r="A175">
        <v>2020</v>
      </c>
      <c r="B175">
        <v>3.329E-2</v>
      </c>
      <c r="C175">
        <v>1.039E-2</v>
      </c>
    </row>
    <row r="176" spans="1:3">
      <c r="A176">
        <v>2020</v>
      </c>
      <c r="B176">
        <v>0.13048999999999999</v>
      </c>
      <c r="C176">
        <v>0.87953000000000003</v>
      </c>
    </row>
    <row r="177" spans="1:3">
      <c r="A177">
        <v>2020</v>
      </c>
      <c r="B177">
        <v>0.13048999999999999</v>
      </c>
      <c r="C177">
        <v>8.3239999999999995E-2</v>
      </c>
    </row>
    <row r="178" spans="1:3">
      <c r="A178">
        <v>2020</v>
      </c>
      <c r="B178">
        <v>0.13048999999999999</v>
      </c>
      <c r="C178">
        <v>1.47E-2</v>
      </c>
    </row>
    <row r="179" spans="1:3">
      <c r="A179">
        <v>2020</v>
      </c>
      <c r="B179">
        <v>0.13048999999999999</v>
      </c>
      <c r="C179">
        <v>5.9100000000000003E-3</v>
      </c>
    </row>
    <row r="180" spans="1:3">
      <c r="A180">
        <v>2020</v>
      </c>
      <c r="B180">
        <v>0.13048999999999999</v>
      </c>
      <c r="C180">
        <v>6.2300000000000003E-3</v>
      </c>
    </row>
    <row r="181" spans="1:3">
      <c r="A181">
        <v>2020</v>
      </c>
      <c r="B181">
        <v>0.13048999999999999</v>
      </c>
      <c r="C181">
        <v>1.039E-2</v>
      </c>
    </row>
    <row r="182" spans="1:3">
      <c r="A182">
        <v>2021</v>
      </c>
      <c r="B182">
        <v>3.0460000000000001E-2</v>
      </c>
      <c r="C182">
        <v>0.95255000000000001</v>
      </c>
    </row>
    <row r="183" spans="1:3">
      <c r="A183">
        <v>2021</v>
      </c>
      <c r="B183">
        <v>3.0460000000000001E-2</v>
      </c>
      <c r="C183">
        <v>8.5639999999999994E-2</v>
      </c>
    </row>
    <row r="184" spans="1:3">
      <c r="A184">
        <v>2021</v>
      </c>
      <c r="B184">
        <v>3.0460000000000001E-2</v>
      </c>
      <c r="C184">
        <v>1.3899999999999999E-2</v>
      </c>
    </row>
    <row r="185" spans="1:3">
      <c r="A185">
        <v>2021</v>
      </c>
      <c r="B185">
        <v>3.0460000000000001E-2</v>
      </c>
      <c r="C185">
        <v>9.9100000000000004E-3</v>
      </c>
    </row>
    <row r="186" spans="1:3">
      <c r="A186">
        <v>2021</v>
      </c>
      <c r="B186">
        <v>3.0460000000000001E-2</v>
      </c>
      <c r="C186">
        <v>8.6300000000000005E-3</v>
      </c>
    </row>
    <row r="187" spans="1:3">
      <c r="A187">
        <v>2021</v>
      </c>
      <c r="B187">
        <v>3.0460000000000001E-2</v>
      </c>
      <c r="C187">
        <v>1.166E-2</v>
      </c>
    </row>
    <row r="188" spans="1:3">
      <c r="A188">
        <v>2021</v>
      </c>
      <c r="B188">
        <v>0.36653000000000002</v>
      </c>
      <c r="C188">
        <v>0.95255000000000001</v>
      </c>
    </row>
    <row r="189" spans="1:3">
      <c r="A189">
        <v>2021</v>
      </c>
      <c r="B189">
        <v>0.36653000000000002</v>
      </c>
      <c r="C189">
        <v>8.5639999999999994E-2</v>
      </c>
    </row>
    <row r="190" spans="1:3">
      <c r="A190">
        <v>2021</v>
      </c>
      <c r="B190">
        <v>0.36653000000000002</v>
      </c>
      <c r="C190">
        <v>1.3899999999999999E-2</v>
      </c>
    </row>
    <row r="191" spans="1:3">
      <c r="A191">
        <v>2021</v>
      </c>
      <c r="B191">
        <v>0.36653000000000002</v>
      </c>
      <c r="C191">
        <v>9.9100000000000004E-3</v>
      </c>
    </row>
    <row r="192" spans="1:3">
      <c r="A192">
        <v>2021</v>
      </c>
      <c r="B192">
        <v>0.36653000000000002</v>
      </c>
      <c r="C192">
        <v>8.6300000000000005E-3</v>
      </c>
    </row>
    <row r="193" spans="1:3">
      <c r="A193">
        <v>2021</v>
      </c>
      <c r="B193">
        <v>0.36653000000000002</v>
      </c>
      <c r="C193">
        <v>1.166E-2</v>
      </c>
    </row>
    <row r="194" spans="1:3">
      <c r="A194">
        <v>2021</v>
      </c>
      <c r="B194">
        <v>0.34144999999999998</v>
      </c>
      <c r="C194">
        <v>0.95255000000000001</v>
      </c>
    </row>
    <row r="195" spans="1:3">
      <c r="A195">
        <v>2021</v>
      </c>
      <c r="B195">
        <v>0.34144999999999998</v>
      </c>
      <c r="C195">
        <v>8.5639999999999994E-2</v>
      </c>
    </row>
    <row r="196" spans="1:3">
      <c r="A196">
        <v>2021</v>
      </c>
      <c r="B196">
        <v>0.34144999999999998</v>
      </c>
      <c r="C196">
        <v>1.3899999999999999E-2</v>
      </c>
    </row>
    <row r="197" spans="1:3">
      <c r="A197">
        <v>2021</v>
      </c>
      <c r="B197">
        <v>0.34144999999999998</v>
      </c>
      <c r="C197">
        <v>9.9100000000000004E-3</v>
      </c>
    </row>
    <row r="198" spans="1:3">
      <c r="A198">
        <v>2021</v>
      </c>
      <c r="B198">
        <v>0.34144999999999998</v>
      </c>
      <c r="C198">
        <v>8.6300000000000005E-3</v>
      </c>
    </row>
    <row r="199" spans="1:3">
      <c r="A199">
        <v>2021</v>
      </c>
      <c r="B199">
        <v>0.34144999999999998</v>
      </c>
      <c r="C199">
        <v>1.166E-2</v>
      </c>
    </row>
    <row r="200" spans="1:3">
      <c r="A200">
        <v>2021</v>
      </c>
      <c r="B200">
        <v>1.7770000000000001E-2</v>
      </c>
      <c r="C200">
        <v>0.95255000000000001</v>
      </c>
    </row>
    <row r="201" spans="1:3">
      <c r="A201">
        <v>2021</v>
      </c>
      <c r="B201">
        <v>1.7770000000000001E-2</v>
      </c>
      <c r="C201">
        <v>8.5639999999999994E-2</v>
      </c>
    </row>
    <row r="202" spans="1:3">
      <c r="A202">
        <v>2021</v>
      </c>
      <c r="B202">
        <v>1.7770000000000001E-2</v>
      </c>
      <c r="C202">
        <v>1.3899999999999999E-2</v>
      </c>
    </row>
    <row r="203" spans="1:3">
      <c r="A203">
        <v>2021</v>
      </c>
      <c r="B203">
        <v>1.7770000000000001E-2</v>
      </c>
      <c r="C203">
        <v>9.9100000000000004E-3</v>
      </c>
    </row>
    <row r="204" spans="1:3">
      <c r="A204">
        <v>2021</v>
      </c>
      <c r="B204">
        <v>1.7770000000000001E-2</v>
      </c>
      <c r="C204">
        <v>8.6300000000000005E-3</v>
      </c>
    </row>
    <row r="205" spans="1:3">
      <c r="A205">
        <v>2021</v>
      </c>
      <c r="B205">
        <v>1.7770000000000001E-2</v>
      </c>
      <c r="C205">
        <v>1.166E-2</v>
      </c>
    </row>
    <row r="206" spans="1:3">
      <c r="A206">
        <v>2021</v>
      </c>
      <c r="B206">
        <v>9.3609999999999999E-2</v>
      </c>
      <c r="C206">
        <v>0.95255000000000001</v>
      </c>
    </row>
    <row r="207" spans="1:3">
      <c r="A207">
        <v>2021</v>
      </c>
      <c r="B207">
        <v>9.3609999999999999E-2</v>
      </c>
      <c r="C207">
        <v>8.5639999999999994E-2</v>
      </c>
    </row>
    <row r="208" spans="1:3">
      <c r="A208">
        <v>2021</v>
      </c>
      <c r="B208">
        <v>9.3609999999999999E-2</v>
      </c>
      <c r="C208">
        <v>1.3899999999999999E-2</v>
      </c>
    </row>
    <row r="209" spans="1:3">
      <c r="A209">
        <v>2021</v>
      </c>
      <c r="B209">
        <v>9.3609999999999999E-2</v>
      </c>
      <c r="C209">
        <v>9.9100000000000004E-3</v>
      </c>
    </row>
    <row r="210" spans="1:3">
      <c r="A210">
        <v>2021</v>
      </c>
      <c r="B210">
        <v>9.3609999999999999E-2</v>
      </c>
      <c r="C210">
        <v>8.6300000000000005E-3</v>
      </c>
    </row>
    <row r="211" spans="1:3">
      <c r="A211">
        <v>2021</v>
      </c>
      <c r="B211">
        <v>9.3609999999999999E-2</v>
      </c>
      <c r="C211">
        <v>1.166E-2</v>
      </c>
    </row>
    <row r="212" spans="1:3">
      <c r="A212">
        <v>2021</v>
      </c>
      <c r="B212">
        <v>6.2700000000000004E-3</v>
      </c>
      <c r="C212">
        <v>0.95255000000000001</v>
      </c>
    </row>
    <row r="213" spans="1:3">
      <c r="A213">
        <v>2021</v>
      </c>
      <c r="B213">
        <v>6.2700000000000004E-3</v>
      </c>
      <c r="C213">
        <v>8.5639999999999994E-2</v>
      </c>
    </row>
    <row r="214" spans="1:3">
      <c r="A214">
        <v>2021</v>
      </c>
      <c r="B214">
        <v>6.2700000000000004E-3</v>
      </c>
      <c r="C214">
        <v>1.3899999999999999E-2</v>
      </c>
    </row>
    <row r="215" spans="1:3">
      <c r="A215">
        <v>2021</v>
      </c>
      <c r="B215">
        <v>6.2700000000000004E-3</v>
      </c>
      <c r="C215">
        <v>9.9100000000000004E-3</v>
      </c>
    </row>
    <row r="216" spans="1:3">
      <c r="A216">
        <v>2021</v>
      </c>
      <c r="B216">
        <v>6.2700000000000004E-3</v>
      </c>
      <c r="C216">
        <v>8.6300000000000005E-3</v>
      </c>
    </row>
    <row r="217" spans="1:3">
      <c r="A217">
        <v>2021</v>
      </c>
      <c r="B217">
        <v>6.2700000000000004E-3</v>
      </c>
      <c r="C217">
        <v>1.166E-2</v>
      </c>
    </row>
    <row r="218" spans="1:3">
      <c r="A218">
        <v>2021</v>
      </c>
      <c r="B218">
        <v>2.5680000000000001E-2</v>
      </c>
      <c r="C218">
        <v>0.95255000000000001</v>
      </c>
    </row>
    <row r="219" spans="1:3">
      <c r="A219">
        <v>2021</v>
      </c>
      <c r="B219">
        <v>2.5680000000000001E-2</v>
      </c>
      <c r="C219">
        <v>8.5639999999999994E-2</v>
      </c>
    </row>
    <row r="220" spans="1:3">
      <c r="A220">
        <v>2021</v>
      </c>
      <c r="B220">
        <v>2.5680000000000001E-2</v>
      </c>
      <c r="C220">
        <v>1.3899999999999999E-2</v>
      </c>
    </row>
    <row r="221" spans="1:3">
      <c r="A221">
        <v>2021</v>
      </c>
      <c r="B221">
        <v>2.5680000000000001E-2</v>
      </c>
      <c r="C221">
        <v>9.9100000000000004E-3</v>
      </c>
    </row>
    <row r="222" spans="1:3">
      <c r="A222">
        <v>2021</v>
      </c>
      <c r="B222">
        <v>2.5680000000000001E-2</v>
      </c>
      <c r="C222">
        <v>8.6300000000000005E-3</v>
      </c>
    </row>
    <row r="223" spans="1:3">
      <c r="A223">
        <v>2021</v>
      </c>
      <c r="B223">
        <v>2.5680000000000001E-2</v>
      </c>
      <c r="C223">
        <v>1.166E-2</v>
      </c>
    </row>
    <row r="224" spans="1:3">
      <c r="A224">
        <v>2021</v>
      </c>
      <c r="B224">
        <v>1.3440000000000001E-2</v>
      </c>
      <c r="C224">
        <v>0.95255000000000001</v>
      </c>
    </row>
    <row r="225" spans="1:3">
      <c r="A225">
        <v>2021</v>
      </c>
      <c r="B225">
        <v>1.3440000000000001E-2</v>
      </c>
      <c r="C225">
        <v>8.5639999999999994E-2</v>
      </c>
    </row>
    <row r="226" spans="1:3">
      <c r="A226">
        <v>2021</v>
      </c>
      <c r="B226">
        <v>1.3440000000000001E-2</v>
      </c>
      <c r="C226">
        <v>1.3899999999999999E-2</v>
      </c>
    </row>
    <row r="227" spans="1:3">
      <c r="A227">
        <v>2021</v>
      </c>
      <c r="B227">
        <v>1.3440000000000001E-2</v>
      </c>
      <c r="C227">
        <v>9.9100000000000004E-3</v>
      </c>
    </row>
    <row r="228" spans="1:3">
      <c r="A228">
        <v>2021</v>
      </c>
      <c r="B228">
        <v>1.3440000000000001E-2</v>
      </c>
      <c r="C228">
        <v>8.6300000000000005E-3</v>
      </c>
    </row>
    <row r="229" spans="1:3">
      <c r="A229">
        <v>2021</v>
      </c>
      <c r="B229">
        <v>1.3440000000000001E-2</v>
      </c>
      <c r="C229">
        <v>1.166E-2</v>
      </c>
    </row>
    <row r="230" spans="1:3">
      <c r="A230">
        <v>2021</v>
      </c>
      <c r="B230">
        <v>3.8370000000000001E-2</v>
      </c>
      <c r="C230">
        <v>0.95255000000000001</v>
      </c>
    </row>
    <row r="231" spans="1:3">
      <c r="A231">
        <v>2021</v>
      </c>
      <c r="B231">
        <v>3.8370000000000001E-2</v>
      </c>
      <c r="C231">
        <v>8.5639999999999994E-2</v>
      </c>
    </row>
    <row r="232" spans="1:3">
      <c r="A232">
        <v>2021</v>
      </c>
      <c r="B232">
        <v>3.8370000000000001E-2</v>
      </c>
      <c r="C232">
        <v>1.3899999999999999E-2</v>
      </c>
    </row>
    <row r="233" spans="1:3">
      <c r="A233">
        <v>2021</v>
      </c>
      <c r="B233">
        <v>3.8370000000000001E-2</v>
      </c>
      <c r="C233">
        <v>9.9100000000000004E-3</v>
      </c>
    </row>
    <row r="234" spans="1:3">
      <c r="A234">
        <v>2021</v>
      </c>
      <c r="B234">
        <v>3.8370000000000001E-2</v>
      </c>
      <c r="C234">
        <v>8.6300000000000005E-3</v>
      </c>
    </row>
    <row r="235" spans="1:3">
      <c r="A235">
        <v>2021</v>
      </c>
      <c r="B235">
        <v>3.8370000000000001E-2</v>
      </c>
      <c r="C235">
        <v>1.166E-2</v>
      </c>
    </row>
    <row r="236" spans="1:3">
      <c r="A236">
        <v>2021</v>
      </c>
      <c r="B236">
        <v>0.32397999999999999</v>
      </c>
      <c r="C236">
        <v>0.95255000000000001</v>
      </c>
    </row>
    <row r="237" spans="1:3">
      <c r="A237">
        <v>2021</v>
      </c>
      <c r="B237">
        <v>0.32397999999999999</v>
      </c>
      <c r="C237">
        <v>8.5639999999999994E-2</v>
      </c>
    </row>
    <row r="238" spans="1:3">
      <c r="A238">
        <v>2021</v>
      </c>
      <c r="B238">
        <v>0.32397999999999999</v>
      </c>
      <c r="C238">
        <v>1.3899999999999999E-2</v>
      </c>
    </row>
    <row r="239" spans="1:3">
      <c r="A239">
        <v>2021</v>
      </c>
      <c r="B239">
        <v>0.32397999999999999</v>
      </c>
      <c r="C239">
        <v>9.9100000000000004E-3</v>
      </c>
    </row>
    <row r="240" spans="1:3">
      <c r="A240">
        <v>2021</v>
      </c>
      <c r="B240">
        <v>0.32397999999999999</v>
      </c>
      <c r="C240">
        <v>8.6300000000000005E-3</v>
      </c>
    </row>
    <row r="241" spans="1:3">
      <c r="A241">
        <v>2021</v>
      </c>
      <c r="B241">
        <v>0.32397999999999999</v>
      </c>
      <c r="C241">
        <v>1.166E-2</v>
      </c>
    </row>
    <row r="242" spans="1:3">
      <c r="A242">
        <v>2022</v>
      </c>
      <c r="B242">
        <v>2.5229999999999999E-2</v>
      </c>
      <c r="C242">
        <v>0.93737000000000004</v>
      </c>
    </row>
    <row r="243" spans="1:3">
      <c r="A243">
        <v>2022</v>
      </c>
      <c r="B243">
        <v>2.5229999999999999E-2</v>
      </c>
      <c r="C243">
        <v>0.10577</v>
      </c>
    </row>
    <row r="244" spans="1:3">
      <c r="A244">
        <v>2022</v>
      </c>
      <c r="B244">
        <v>2.5229999999999999E-2</v>
      </c>
      <c r="C244">
        <v>8.3099999999999997E-3</v>
      </c>
    </row>
    <row r="245" spans="1:3">
      <c r="A245">
        <v>2022</v>
      </c>
      <c r="B245">
        <v>2.5229999999999999E-2</v>
      </c>
      <c r="C245">
        <v>1.374E-2</v>
      </c>
    </row>
    <row r="246" spans="1:3">
      <c r="A246">
        <v>2022</v>
      </c>
      <c r="B246">
        <v>2.5229999999999999E-2</v>
      </c>
      <c r="C246">
        <v>8.1499999999999993E-3</v>
      </c>
    </row>
    <row r="247" spans="1:3">
      <c r="A247">
        <v>2022</v>
      </c>
      <c r="B247">
        <v>2.5229999999999999E-2</v>
      </c>
      <c r="C247">
        <v>1.422E-2</v>
      </c>
    </row>
    <row r="248" spans="1:3">
      <c r="A248">
        <v>2022</v>
      </c>
      <c r="B248">
        <v>0.39041999999999999</v>
      </c>
      <c r="C248">
        <v>0.93737000000000004</v>
      </c>
    </row>
    <row r="249" spans="1:3">
      <c r="A249">
        <v>2022</v>
      </c>
      <c r="B249">
        <v>0.39041999999999999</v>
      </c>
      <c r="C249">
        <v>0.10577</v>
      </c>
    </row>
    <row r="250" spans="1:3">
      <c r="A250">
        <v>2022</v>
      </c>
      <c r="B250">
        <v>0.39041999999999999</v>
      </c>
      <c r="C250">
        <v>8.3099999999999997E-3</v>
      </c>
    </row>
    <row r="251" spans="1:3">
      <c r="A251">
        <v>2022</v>
      </c>
      <c r="B251">
        <v>0.39041999999999999</v>
      </c>
      <c r="C251">
        <v>1.374E-2</v>
      </c>
    </row>
    <row r="252" spans="1:3">
      <c r="A252">
        <v>2022</v>
      </c>
      <c r="B252">
        <v>0.39041999999999999</v>
      </c>
      <c r="C252">
        <v>8.1499999999999993E-3</v>
      </c>
    </row>
    <row r="253" spans="1:3">
      <c r="A253">
        <v>2022</v>
      </c>
      <c r="B253">
        <v>0.39041999999999999</v>
      </c>
      <c r="C253">
        <v>1.422E-2</v>
      </c>
    </row>
    <row r="254" spans="1:3">
      <c r="A254">
        <v>2022</v>
      </c>
      <c r="B254">
        <v>0.31233</v>
      </c>
      <c r="C254">
        <v>0.93737000000000004</v>
      </c>
    </row>
    <row r="255" spans="1:3">
      <c r="A255">
        <v>2022</v>
      </c>
      <c r="B255">
        <v>0.31233</v>
      </c>
      <c r="C255">
        <v>0.10577</v>
      </c>
    </row>
    <row r="256" spans="1:3">
      <c r="A256">
        <v>2022</v>
      </c>
      <c r="B256">
        <v>0.31233</v>
      </c>
      <c r="C256">
        <v>8.3099999999999997E-3</v>
      </c>
    </row>
    <row r="257" spans="1:3">
      <c r="A257">
        <v>2022</v>
      </c>
      <c r="B257">
        <v>0.31233</v>
      </c>
      <c r="C257">
        <v>1.374E-2</v>
      </c>
    </row>
    <row r="258" spans="1:3">
      <c r="A258">
        <v>2022</v>
      </c>
      <c r="B258">
        <v>0.31233</v>
      </c>
      <c r="C258">
        <v>8.1499999999999993E-3</v>
      </c>
    </row>
    <row r="259" spans="1:3">
      <c r="A259">
        <v>2022</v>
      </c>
      <c r="B259">
        <v>0.31233</v>
      </c>
      <c r="C259">
        <v>1.422E-2</v>
      </c>
    </row>
    <row r="260" spans="1:3">
      <c r="A260">
        <v>2022</v>
      </c>
      <c r="B260">
        <v>1.583E-2</v>
      </c>
      <c r="C260">
        <v>0.93737000000000004</v>
      </c>
    </row>
    <row r="261" spans="1:3">
      <c r="A261">
        <v>2022</v>
      </c>
      <c r="B261">
        <v>1.583E-2</v>
      </c>
      <c r="C261">
        <v>0.10577</v>
      </c>
    </row>
    <row r="262" spans="1:3">
      <c r="A262">
        <v>2022</v>
      </c>
      <c r="B262">
        <v>1.583E-2</v>
      </c>
      <c r="C262">
        <v>8.3099999999999997E-3</v>
      </c>
    </row>
    <row r="263" spans="1:3">
      <c r="A263">
        <v>2022</v>
      </c>
      <c r="B263">
        <v>1.583E-2</v>
      </c>
      <c r="C263">
        <v>1.374E-2</v>
      </c>
    </row>
    <row r="264" spans="1:3">
      <c r="A264">
        <v>2022</v>
      </c>
      <c r="B264">
        <v>1.583E-2</v>
      </c>
      <c r="C264">
        <v>8.1499999999999993E-3</v>
      </c>
    </row>
    <row r="265" spans="1:3">
      <c r="A265">
        <v>2022</v>
      </c>
      <c r="B265">
        <v>1.583E-2</v>
      </c>
      <c r="C265">
        <v>1.422E-2</v>
      </c>
    </row>
    <row r="266" spans="1:3">
      <c r="A266">
        <v>2022</v>
      </c>
      <c r="B266">
        <v>9.2560000000000003E-2</v>
      </c>
      <c r="C266">
        <v>0.93737000000000004</v>
      </c>
    </row>
    <row r="267" spans="1:3">
      <c r="A267">
        <v>2022</v>
      </c>
      <c r="B267">
        <v>9.2560000000000003E-2</v>
      </c>
      <c r="C267">
        <v>0.10577</v>
      </c>
    </row>
    <row r="268" spans="1:3">
      <c r="A268">
        <v>2022</v>
      </c>
      <c r="B268">
        <v>9.2560000000000003E-2</v>
      </c>
      <c r="C268">
        <v>8.3099999999999997E-3</v>
      </c>
    </row>
    <row r="269" spans="1:3">
      <c r="A269">
        <v>2022</v>
      </c>
      <c r="B269">
        <v>9.2560000000000003E-2</v>
      </c>
      <c r="C269">
        <v>1.374E-2</v>
      </c>
    </row>
    <row r="270" spans="1:3">
      <c r="A270">
        <v>2022</v>
      </c>
      <c r="B270">
        <v>9.2560000000000003E-2</v>
      </c>
      <c r="C270">
        <v>8.1499999999999993E-3</v>
      </c>
    </row>
    <row r="271" spans="1:3">
      <c r="A271">
        <v>2022</v>
      </c>
      <c r="B271">
        <v>9.2560000000000003E-2</v>
      </c>
      <c r="C271">
        <v>1.422E-2</v>
      </c>
    </row>
    <row r="272" spans="1:3">
      <c r="A272">
        <v>2022</v>
      </c>
      <c r="B272">
        <v>5.6699999999999997E-3</v>
      </c>
      <c r="C272">
        <v>0.93737000000000004</v>
      </c>
    </row>
    <row r="273" spans="1:3">
      <c r="A273">
        <v>2022</v>
      </c>
      <c r="B273">
        <v>5.6699999999999997E-3</v>
      </c>
      <c r="C273">
        <v>0.10577</v>
      </c>
    </row>
    <row r="274" spans="1:3">
      <c r="A274">
        <v>2022</v>
      </c>
      <c r="B274">
        <v>5.6699999999999997E-3</v>
      </c>
      <c r="C274">
        <v>8.3099999999999997E-3</v>
      </c>
    </row>
    <row r="275" spans="1:3">
      <c r="A275">
        <v>2022</v>
      </c>
      <c r="B275">
        <v>5.6699999999999997E-3</v>
      </c>
      <c r="C275">
        <v>1.374E-2</v>
      </c>
    </row>
    <row r="276" spans="1:3">
      <c r="A276">
        <v>2022</v>
      </c>
      <c r="B276">
        <v>5.6699999999999997E-3</v>
      </c>
      <c r="C276">
        <v>8.1499999999999993E-3</v>
      </c>
    </row>
    <row r="277" spans="1:3">
      <c r="A277">
        <v>2022</v>
      </c>
      <c r="B277">
        <v>5.6699999999999997E-3</v>
      </c>
      <c r="C277">
        <v>1.422E-2</v>
      </c>
    </row>
    <row r="278" spans="1:3">
      <c r="A278">
        <v>2022</v>
      </c>
      <c r="B278">
        <v>2.6720000000000001E-2</v>
      </c>
      <c r="C278">
        <v>0.93737000000000004</v>
      </c>
    </row>
    <row r="279" spans="1:3">
      <c r="A279">
        <v>2022</v>
      </c>
      <c r="B279">
        <v>2.6720000000000001E-2</v>
      </c>
      <c r="C279">
        <v>0.10577</v>
      </c>
    </row>
    <row r="280" spans="1:3">
      <c r="A280">
        <v>2022</v>
      </c>
      <c r="B280">
        <v>2.6720000000000001E-2</v>
      </c>
      <c r="C280">
        <v>8.3099999999999997E-3</v>
      </c>
    </row>
    <row r="281" spans="1:3">
      <c r="A281">
        <v>2022</v>
      </c>
      <c r="B281">
        <v>2.6720000000000001E-2</v>
      </c>
      <c r="C281">
        <v>1.374E-2</v>
      </c>
    </row>
    <row r="282" spans="1:3">
      <c r="A282">
        <v>2022</v>
      </c>
      <c r="B282">
        <v>2.6720000000000001E-2</v>
      </c>
      <c r="C282">
        <v>8.1499999999999993E-3</v>
      </c>
    </row>
    <row r="283" spans="1:3">
      <c r="A283">
        <v>2022</v>
      </c>
      <c r="B283">
        <v>2.6720000000000001E-2</v>
      </c>
      <c r="C283">
        <v>1.422E-2</v>
      </c>
    </row>
    <row r="284" spans="1:3">
      <c r="A284">
        <v>2022</v>
      </c>
      <c r="B284">
        <v>7.3200000000000001E-3</v>
      </c>
      <c r="C284">
        <v>0.93737000000000004</v>
      </c>
    </row>
    <row r="285" spans="1:3">
      <c r="A285">
        <v>2022</v>
      </c>
      <c r="B285">
        <v>7.3200000000000001E-3</v>
      </c>
      <c r="C285">
        <v>0.10577</v>
      </c>
    </row>
    <row r="286" spans="1:3">
      <c r="A286">
        <v>2022</v>
      </c>
      <c r="B286">
        <v>7.3200000000000001E-3</v>
      </c>
      <c r="C286">
        <v>8.3099999999999997E-3</v>
      </c>
    </row>
    <row r="287" spans="1:3">
      <c r="A287">
        <v>2022</v>
      </c>
      <c r="B287">
        <v>7.3200000000000001E-3</v>
      </c>
      <c r="C287">
        <v>1.374E-2</v>
      </c>
    </row>
    <row r="288" spans="1:3">
      <c r="A288">
        <v>2022</v>
      </c>
      <c r="B288">
        <v>7.3200000000000001E-3</v>
      </c>
      <c r="C288">
        <v>8.1499999999999993E-3</v>
      </c>
    </row>
    <row r="289" spans="1:3">
      <c r="A289">
        <v>2022</v>
      </c>
      <c r="B289">
        <v>7.3200000000000001E-3</v>
      </c>
      <c r="C289">
        <v>1.422E-2</v>
      </c>
    </row>
    <row r="290" spans="1:3">
      <c r="A290">
        <v>2022</v>
      </c>
      <c r="B290">
        <v>3.9410000000000001E-2</v>
      </c>
      <c r="C290">
        <v>0.93737000000000004</v>
      </c>
    </row>
    <row r="291" spans="1:3">
      <c r="A291">
        <v>2022</v>
      </c>
      <c r="B291">
        <v>3.9410000000000001E-2</v>
      </c>
      <c r="C291">
        <v>0.10577</v>
      </c>
    </row>
    <row r="292" spans="1:3">
      <c r="A292">
        <v>2022</v>
      </c>
      <c r="B292">
        <v>3.9410000000000001E-2</v>
      </c>
      <c r="C292">
        <v>8.3099999999999997E-3</v>
      </c>
    </row>
    <row r="293" spans="1:3">
      <c r="A293">
        <v>2022</v>
      </c>
      <c r="B293">
        <v>3.9410000000000001E-2</v>
      </c>
      <c r="C293">
        <v>1.374E-2</v>
      </c>
    </row>
    <row r="294" spans="1:3">
      <c r="A294">
        <v>2022</v>
      </c>
      <c r="B294">
        <v>3.9410000000000001E-2</v>
      </c>
      <c r="C294">
        <v>8.1499999999999993E-3</v>
      </c>
    </row>
    <row r="295" spans="1:3">
      <c r="A295">
        <v>2022</v>
      </c>
      <c r="B295">
        <v>3.9410000000000001E-2</v>
      </c>
      <c r="C295">
        <v>1.422E-2</v>
      </c>
    </row>
    <row r="296" spans="1:3">
      <c r="A296">
        <v>2022</v>
      </c>
      <c r="B296">
        <v>0.20333999999999999</v>
      </c>
      <c r="C296">
        <v>0.93737000000000004</v>
      </c>
    </row>
    <row r="297" spans="1:3">
      <c r="A297">
        <v>2022</v>
      </c>
      <c r="B297">
        <v>0.20333999999999999</v>
      </c>
      <c r="C297">
        <v>0.10577</v>
      </c>
    </row>
    <row r="298" spans="1:3">
      <c r="A298">
        <v>2022</v>
      </c>
      <c r="B298">
        <v>0.20333999999999999</v>
      </c>
      <c r="C298">
        <v>8.3099999999999997E-3</v>
      </c>
    </row>
    <row r="299" spans="1:3">
      <c r="A299">
        <v>2022</v>
      </c>
      <c r="B299">
        <v>0.20333999999999999</v>
      </c>
      <c r="C299">
        <v>1.374E-2</v>
      </c>
    </row>
    <row r="300" spans="1:3">
      <c r="A300">
        <v>2022</v>
      </c>
      <c r="B300">
        <v>0.20333999999999999</v>
      </c>
      <c r="C300">
        <v>8.1499999999999993E-3</v>
      </c>
    </row>
    <row r="301" spans="1:3">
      <c r="A301">
        <v>2022</v>
      </c>
      <c r="B301">
        <v>0.20333999999999999</v>
      </c>
      <c r="C301">
        <v>1.422E-2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workbookViewId="0">
      <selection activeCell="M10" sqref="M10"/>
    </sheetView>
  </sheetViews>
  <sheetFormatPr defaultRowHeight="16.5"/>
  <cols>
    <col min="5" max="5" width="9.875" style="30" bestFit="1" customWidth="1"/>
    <col min="6" max="6" width="11" style="30" bestFit="1" customWidth="1"/>
    <col min="8" max="8" width="11.5" style="30" customWidth="1"/>
  </cols>
  <sheetData>
    <row r="1" spans="1:8">
      <c r="A1" s="2" t="s">
        <v>3</v>
      </c>
      <c r="B1" s="2" t="s">
        <v>0</v>
      </c>
      <c r="C1" s="2" t="s">
        <v>1</v>
      </c>
      <c r="D1" s="2" t="s">
        <v>2</v>
      </c>
      <c r="E1" s="2" t="s">
        <v>4</v>
      </c>
      <c r="F1" s="2" t="s">
        <v>5</v>
      </c>
      <c r="G1" s="2"/>
      <c r="H1" s="2"/>
    </row>
    <row r="2" spans="1:8">
      <c r="A2" s="2">
        <v>0</v>
      </c>
      <c r="B2" s="24">
        <v>2018</v>
      </c>
      <c r="C2" t="s">
        <v>6</v>
      </c>
      <c r="D2" t="s">
        <v>7</v>
      </c>
      <c r="E2" s="1">
        <v>1.3212312500000001</v>
      </c>
      <c r="F2" s="3" t="str">
        <f t="shared" ref="F2:F65" si="0">IF(E2&gt;=10, "조치필요", IF(E2&gt;=0.7, "주의", IF(E2&gt;=0, "가능성있음", "")))</f>
        <v>주의</v>
      </c>
      <c r="G2" s="2"/>
      <c r="H2" s="2"/>
    </row>
    <row r="3" spans="1:8">
      <c r="A3" s="2">
        <v>1</v>
      </c>
      <c r="B3" s="24">
        <v>2018</v>
      </c>
      <c r="C3" t="s">
        <v>6</v>
      </c>
      <c r="D3" t="s">
        <v>8</v>
      </c>
      <c r="E3" s="1">
        <v>0.108761965</v>
      </c>
      <c r="F3" s="3" t="str">
        <f t="shared" si="0"/>
        <v>가능성있음</v>
      </c>
    </row>
    <row r="4" spans="1:8">
      <c r="A4" s="2">
        <v>2</v>
      </c>
      <c r="B4" s="24">
        <v>2018</v>
      </c>
      <c r="C4" t="s">
        <v>6</v>
      </c>
      <c r="D4" t="s">
        <v>9</v>
      </c>
      <c r="E4" s="1">
        <v>1.1734325E-2</v>
      </c>
      <c r="F4" s="3" t="str">
        <f t="shared" si="0"/>
        <v>가능성있음</v>
      </c>
    </row>
    <row r="5" spans="1:8">
      <c r="A5" s="2">
        <v>3</v>
      </c>
      <c r="B5" s="24">
        <v>2018</v>
      </c>
      <c r="C5" t="s">
        <v>6</v>
      </c>
      <c r="D5" t="s">
        <v>10</v>
      </c>
      <c r="E5" s="1">
        <v>1.8613685000000001E-2</v>
      </c>
      <c r="F5" s="3" t="str">
        <f t="shared" si="0"/>
        <v>가능성있음</v>
      </c>
    </row>
    <row r="6" spans="1:8">
      <c r="A6" s="2">
        <v>4</v>
      </c>
      <c r="B6" s="24">
        <v>2018</v>
      </c>
      <c r="C6" t="s">
        <v>6</v>
      </c>
      <c r="D6" t="s">
        <v>11</v>
      </c>
      <c r="E6" s="1">
        <v>1.2020965E-2</v>
      </c>
      <c r="F6" s="3" t="str">
        <f t="shared" si="0"/>
        <v>가능성있음</v>
      </c>
    </row>
    <row r="7" spans="1:8">
      <c r="A7" s="2">
        <v>5</v>
      </c>
      <c r="B7" s="24">
        <v>2018</v>
      </c>
      <c r="C7" t="s">
        <v>6</v>
      </c>
      <c r="D7" t="s">
        <v>12</v>
      </c>
      <c r="E7" s="1">
        <v>1.2594245E-2</v>
      </c>
      <c r="F7" s="3" t="str">
        <f t="shared" si="0"/>
        <v>가능성있음</v>
      </c>
    </row>
    <row r="8" spans="1:8">
      <c r="A8" s="2">
        <v>6</v>
      </c>
      <c r="B8" s="24">
        <v>2018</v>
      </c>
      <c r="C8" t="s">
        <v>13</v>
      </c>
      <c r="D8" t="s">
        <v>7</v>
      </c>
      <c r="E8" s="1">
        <v>8.5719625000000015</v>
      </c>
      <c r="F8" s="3" t="str">
        <f t="shared" si="0"/>
        <v>주의</v>
      </c>
    </row>
    <row r="9" spans="1:8">
      <c r="A9" s="2">
        <v>7</v>
      </c>
      <c r="B9" s="24">
        <v>2018</v>
      </c>
      <c r="C9" t="s">
        <v>13</v>
      </c>
      <c r="D9" t="s">
        <v>8</v>
      </c>
      <c r="E9" s="1">
        <v>0.70563233000000003</v>
      </c>
      <c r="F9" s="3" t="str">
        <f t="shared" si="0"/>
        <v>주의</v>
      </c>
    </row>
    <row r="10" spans="1:8">
      <c r="A10" s="2">
        <v>8</v>
      </c>
      <c r="B10" s="24">
        <v>2018</v>
      </c>
      <c r="C10" t="s">
        <v>13</v>
      </c>
      <c r="D10" t="s">
        <v>9</v>
      </c>
      <c r="E10" s="1">
        <v>7.6130650000000008E-2</v>
      </c>
      <c r="F10" s="3" t="str">
        <f t="shared" si="0"/>
        <v>가능성있음</v>
      </c>
    </row>
    <row r="11" spans="1:8">
      <c r="A11" s="2">
        <v>9</v>
      </c>
      <c r="B11" s="24">
        <v>2018</v>
      </c>
      <c r="C11" t="s">
        <v>13</v>
      </c>
      <c r="D11" t="s">
        <v>10</v>
      </c>
      <c r="E11" s="1">
        <v>0.12076297</v>
      </c>
      <c r="F11" s="3" t="str">
        <f t="shared" si="0"/>
        <v>가능성있음</v>
      </c>
    </row>
    <row r="12" spans="1:8">
      <c r="A12" s="2">
        <v>10</v>
      </c>
      <c r="B12" s="24">
        <v>2018</v>
      </c>
      <c r="C12" t="s">
        <v>13</v>
      </c>
      <c r="D12" t="s">
        <v>11</v>
      </c>
      <c r="E12" s="1">
        <v>7.7990329999999997E-2</v>
      </c>
      <c r="F12" s="3" t="str">
        <f t="shared" si="0"/>
        <v>가능성있음</v>
      </c>
    </row>
    <row r="13" spans="1:8">
      <c r="A13" s="2">
        <v>11</v>
      </c>
      <c r="B13" s="24">
        <v>2018</v>
      </c>
      <c r="C13" t="s">
        <v>13</v>
      </c>
      <c r="D13" t="s">
        <v>12</v>
      </c>
      <c r="E13" s="1">
        <v>8.1709690000000001E-2</v>
      </c>
      <c r="F13" s="3" t="str">
        <f t="shared" si="0"/>
        <v>가능성있음</v>
      </c>
    </row>
    <row r="14" spans="1:8">
      <c r="A14" s="2">
        <v>12</v>
      </c>
      <c r="B14" s="24">
        <v>2018</v>
      </c>
      <c r="C14" t="s">
        <v>14</v>
      </c>
      <c r="D14" t="s">
        <v>7</v>
      </c>
      <c r="E14" s="1">
        <v>11.5942375</v>
      </c>
      <c r="F14" s="3" t="str">
        <f t="shared" si="0"/>
        <v>조치필요</v>
      </c>
    </row>
    <row r="15" spans="1:8">
      <c r="A15" s="2">
        <v>13</v>
      </c>
      <c r="B15" s="24">
        <v>2018</v>
      </c>
      <c r="C15" t="s">
        <v>14</v>
      </c>
      <c r="D15" t="s">
        <v>8</v>
      </c>
      <c r="E15" s="1">
        <v>0.95442190999999987</v>
      </c>
      <c r="F15" s="3" t="str">
        <f t="shared" si="0"/>
        <v>주의</v>
      </c>
    </row>
    <row r="16" spans="1:8">
      <c r="A16" s="2">
        <v>14</v>
      </c>
      <c r="B16" s="24">
        <v>2018</v>
      </c>
      <c r="C16" t="s">
        <v>14</v>
      </c>
      <c r="D16" t="s">
        <v>9</v>
      </c>
      <c r="E16" s="1">
        <v>0.10297255</v>
      </c>
      <c r="F16" s="3" t="str">
        <f t="shared" si="0"/>
        <v>가능성있음</v>
      </c>
    </row>
    <row r="17" spans="1:6">
      <c r="A17" s="2">
        <v>15</v>
      </c>
      <c r="B17" s="24">
        <v>2018</v>
      </c>
      <c r="C17" t="s">
        <v>14</v>
      </c>
      <c r="D17" t="s">
        <v>10</v>
      </c>
      <c r="E17" s="1">
        <v>0.16334119</v>
      </c>
      <c r="F17" s="3" t="str">
        <f t="shared" si="0"/>
        <v>가능성있음</v>
      </c>
    </row>
    <row r="18" spans="1:6">
      <c r="A18" s="2">
        <v>16</v>
      </c>
      <c r="B18" s="24">
        <v>2018</v>
      </c>
      <c r="C18" t="s">
        <v>14</v>
      </c>
      <c r="D18" t="s">
        <v>11</v>
      </c>
      <c r="E18" s="1">
        <v>0.10548791</v>
      </c>
      <c r="F18" s="3" t="str">
        <f t="shared" si="0"/>
        <v>가능성있음</v>
      </c>
    </row>
    <row r="19" spans="1:6">
      <c r="A19" s="2">
        <v>17</v>
      </c>
      <c r="B19" s="24">
        <v>2018</v>
      </c>
      <c r="C19" t="s">
        <v>14</v>
      </c>
      <c r="D19" t="s">
        <v>12</v>
      </c>
      <c r="E19" s="1">
        <v>0.11051863000000001</v>
      </c>
      <c r="F19" s="3" t="str">
        <f t="shared" si="0"/>
        <v>가능성있음</v>
      </c>
    </row>
    <row r="20" spans="1:6">
      <c r="A20" s="2">
        <v>18</v>
      </c>
      <c r="B20" s="24">
        <v>2018</v>
      </c>
      <c r="C20" t="s">
        <v>15</v>
      </c>
      <c r="D20" t="s">
        <v>7</v>
      </c>
      <c r="E20" s="1">
        <v>0.78728125000000015</v>
      </c>
      <c r="F20" s="3" t="str">
        <f t="shared" si="0"/>
        <v>주의</v>
      </c>
    </row>
    <row r="21" spans="1:6">
      <c r="A21" s="2">
        <v>19</v>
      </c>
      <c r="B21" s="24">
        <v>2018</v>
      </c>
      <c r="C21" t="s">
        <v>15</v>
      </c>
      <c r="D21" t="s">
        <v>8</v>
      </c>
      <c r="E21" s="1">
        <v>6.4807925000000002E-2</v>
      </c>
      <c r="F21" s="3" t="str">
        <f t="shared" si="0"/>
        <v>가능성있음</v>
      </c>
    </row>
    <row r="22" spans="1:6">
      <c r="A22" s="2">
        <v>20</v>
      </c>
      <c r="B22" s="24">
        <v>2018</v>
      </c>
      <c r="C22" t="s">
        <v>15</v>
      </c>
      <c r="D22" t="s">
        <v>9</v>
      </c>
      <c r="E22" s="1">
        <v>6.9921250000000001E-3</v>
      </c>
      <c r="F22" s="3" t="str">
        <f t="shared" si="0"/>
        <v>가능성있음</v>
      </c>
    </row>
    <row r="23" spans="1:6">
      <c r="A23" s="2">
        <v>21</v>
      </c>
      <c r="B23" s="24">
        <v>2018</v>
      </c>
      <c r="C23" t="s">
        <v>15</v>
      </c>
      <c r="D23" t="s">
        <v>10</v>
      </c>
      <c r="E23" s="1">
        <v>1.1091325000000001E-2</v>
      </c>
      <c r="F23" s="3" t="str">
        <f t="shared" si="0"/>
        <v>가능성있음</v>
      </c>
    </row>
    <row r="24" spans="1:6">
      <c r="A24" s="2">
        <v>22</v>
      </c>
      <c r="B24" s="24">
        <v>2018</v>
      </c>
      <c r="C24" t="s">
        <v>15</v>
      </c>
      <c r="D24" t="s">
        <v>11</v>
      </c>
      <c r="E24" s="1">
        <v>7.1629250000000014E-3</v>
      </c>
      <c r="F24" s="3" t="str">
        <f t="shared" si="0"/>
        <v>가능성있음</v>
      </c>
    </row>
    <row r="25" spans="1:6">
      <c r="A25" s="2">
        <v>23</v>
      </c>
      <c r="B25" s="24">
        <v>2018</v>
      </c>
      <c r="C25" t="s">
        <v>15</v>
      </c>
      <c r="D25" t="s">
        <v>12</v>
      </c>
      <c r="E25" s="1">
        <v>7.5045249999999997E-3</v>
      </c>
      <c r="F25" s="3" t="str">
        <f t="shared" si="0"/>
        <v>가능성있음</v>
      </c>
    </row>
    <row r="26" spans="1:6">
      <c r="A26" s="2">
        <v>24</v>
      </c>
      <c r="B26" s="24">
        <v>2018</v>
      </c>
      <c r="C26" t="s">
        <v>16</v>
      </c>
      <c r="D26" t="s">
        <v>7</v>
      </c>
      <c r="E26" s="1">
        <v>2.4001937500000001</v>
      </c>
      <c r="F26" s="3" t="str">
        <f t="shared" si="0"/>
        <v>주의</v>
      </c>
    </row>
    <row r="27" spans="1:6">
      <c r="A27" s="2">
        <v>25</v>
      </c>
      <c r="B27" s="24">
        <v>2018</v>
      </c>
      <c r="C27" t="s">
        <v>16</v>
      </c>
      <c r="D27" t="s">
        <v>8</v>
      </c>
      <c r="E27" s="1">
        <v>0.197580695</v>
      </c>
      <c r="F27" s="3" t="str">
        <f t="shared" si="0"/>
        <v>가능성있음</v>
      </c>
    </row>
    <row r="28" spans="1:6">
      <c r="A28" s="2">
        <v>26</v>
      </c>
      <c r="B28" s="24">
        <v>2018</v>
      </c>
      <c r="C28" t="s">
        <v>16</v>
      </c>
      <c r="D28" t="s">
        <v>9</v>
      </c>
      <c r="E28" s="1">
        <v>2.1316974999999998E-2</v>
      </c>
      <c r="F28" s="3" t="str">
        <f t="shared" si="0"/>
        <v>가능성있음</v>
      </c>
    </row>
    <row r="29" spans="1:6">
      <c r="A29" s="2">
        <v>27</v>
      </c>
      <c r="B29" s="24">
        <v>2018</v>
      </c>
      <c r="C29" t="s">
        <v>16</v>
      </c>
      <c r="D29" t="s">
        <v>10</v>
      </c>
      <c r="E29" s="1">
        <v>3.3814254999999988E-2</v>
      </c>
      <c r="F29" s="3" t="str">
        <f t="shared" si="0"/>
        <v>가능성있음</v>
      </c>
    </row>
    <row r="30" spans="1:6">
      <c r="A30" s="2">
        <v>28</v>
      </c>
      <c r="B30" s="24">
        <v>2018</v>
      </c>
      <c r="C30" t="s">
        <v>16</v>
      </c>
      <c r="D30" t="s">
        <v>11</v>
      </c>
      <c r="E30" s="1">
        <v>2.1837695000000001E-2</v>
      </c>
      <c r="F30" s="3" t="str">
        <f t="shared" si="0"/>
        <v>가능성있음</v>
      </c>
    </row>
    <row r="31" spans="1:6">
      <c r="A31" s="2">
        <v>29</v>
      </c>
      <c r="B31" s="24">
        <v>2018</v>
      </c>
      <c r="C31" t="s">
        <v>16</v>
      </c>
      <c r="D31" t="s">
        <v>12</v>
      </c>
      <c r="E31" s="1">
        <v>2.2879134999999998E-2</v>
      </c>
      <c r="F31" s="3" t="str">
        <f t="shared" si="0"/>
        <v>가능성있음</v>
      </c>
    </row>
    <row r="32" spans="1:6">
      <c r="A32" s="2">
        <v>30</v>
      </c>
      <c r="B32" s="24">
        <v>2018</v>
      </c>
      <c r="C32" t="s">
        <v>17</v>
      </c>
      <c r="D32" t="s">
        <v>7</v>
      </c>
      <c r="E32" s="1">
        <v>0.18732499999999999</v>
      </c>
      <c r="F32" s="3" t="str">
        <f t="shared" si="0"/>
        <v>가능성있음</v>
      </c>
    </row>
    <row r="33" spans="1:6">
      <c r="A33" s="2">
        <v>31</v>
      </c>
      <c r="B33" s="24">
        <v>2018</v>
      </c>
      <c r="C33" t="s">
        <v>17</v>
      </c>
      <c r="D33" t="s">
        <v>8</v>
      </c>
      <c r="E33" s="1">
        <v>1.5420339999999999E-2</v>
      </c>
      <c r="F33" s="3" t="str">
        <f t="shared" si="0"/>
        <v>가능성있음</v>
      </c>
    </row>
    <row r="34" spans="1:6">
      <c r="A34" s="2">
        <v>32</v>
      </c>
      <c r="B34" s="24">
        <v>2018</v>
      </c>
      <c r="C34" t="s">
        <v>17</v>
      </c>
      <c r="D34" t="s">
        <v>9</v>
      </c>
      <c r="E34" s="1">
        <v>1.6636999999999999E-3</v>
      </c>
      <c r="F34" s="3" t="str">
        <f t="shared" si="0"/>
        <v>가능성있음</v>
      </c>
    </row>
    <row r="35" spans="1:6">
      <c r="A35" s="2">
        <v>33</v>
      </c>
      <c r="B35" s="24">
        <v>2018</v>
      </c>
      <c r="C35" t="s">
        <v>17</v>
      </c>
      <c r="D35" t="s">
        <v>10</v>
      </c>
      <c r="E35" s="1">
        <v>2.6390599999999999E-3</v>
      </c>
      <c r="F35" s="3" t="str">
        <f t="shared" si="0"/>
        <v>가능성있음</v>
      </c>
    </row>
    <row r="36" spans="1:6">
      <c r="A36" s="2">
        <v>34</v>
      </c>
      <c r="B36" s="24">
        <v>2018</v>
      </c>
      <c r="C36" t="s">
        <v>17</v>
      </c>
      <c r="D36" t="s">
        <v>11</v>
      </c>
      <c r="E36" s="1">
        <v>1.7043399999999999E-3</v>
      </c>
      <c r="F36" s="3" t="str">
        <f t="shared" si="0"/>
        <v>가능성있음</v>
      </c>
    </row>
    <row r="37" spans="1:6">
      <c r="A37" s="2">
        <v>35</v>
      </c>
      <c r="B37" s="24">
        <v>2018</v>
      </c>
      <c r="C37" t="s">
        <v>17</v>
      </c>
      <c r="D37" t="s">
        <v>12</v>
      </c>
      <c r="E37" s="1">
        <v>1.7856199999999999E-3</v>
      </c>
      <c r="F37" s="3" t="str">
        <f t="shared" si="0"/>
        <v>가능성있음</v>
      </c>
    </row>
    <row r="38" spans="1:6">
      <c r="A38" s="2">
        <v>36</v>
      </c>
      <c r="B38" s="24">
        <v>2018</v>
      </c>
      <c r="C38" t="s">
        <v>18</v>
      </c>
      <c r="D38" t="s">
        <v>7</v>
      </c>
      <c r="E38" s="1">
        <v>0.73786875000000007</v>
      </c>
      <c r="F38" s="3" t="str">
        <f t="shared" si="0"/>
        <v>주의</v>
      </c>
    </row>
    <row r="39" spans="1:6">
      <c r="A39" s="2">
        <v>37</v>
      </c>
      <c r="B39" s="24">
        <v>2018</v>
      </c>
      <c r="C39" t="s">
        <v>18</v>
      </c>
      <c r="D39" t="s">
        <v>8</v>
      </c>
      <c r="E39" s="1">
        <v>6.0740355000000003E-2</v>
      </c>
      <c r="F39" s="3" t="str">
        <f t="shared" si="0"/>
        <v>가능성있음</v>
      </c>
    </row>
    <row r="40" spans="1:6">
      <c r="A40" s="2">
        <v>38</v>
      </c>
      <c r="B40" s="24">
        <v>2018</v>
      </c>
      <c r="C40" t="s">
        <v>18</v>
      </c>
      <c r="D40" t="s">
        <v>9</v>
      </c>
      <c r="E40" s="1">
        <v>6.5532750000000008E-3</v>
      </c>
      <c r="F40" s="3" t="str">
        <f t="shared" si="0"/>
        <v>가능성있음</v>
      </c>
    </row>
    <row r="41" spans="1:6">
      <c r="A41" s="2">
        <v>39</v>
      </c>
      <c r="B41" s="24">
        <v>2018</v>
      </c>
      <c r="C41" t="s">
        <v>18</v>
      </c>
      <c r="D41" t="s">
        <v>10</v>
      </c>
      <c r="E41" s="1">
        <v>1.0395194999999999E-2</v>
      </c>
      <c r="F41" s="3" t="str">
        <f t="shared" si="0"/>
        <v>가능성있음</v>
      </c>
    </row>
    <row r="42" spans="1:6">
      <c r="A42" s="2">
        <v>40</v>
      </c>
      <c r="B42" s="24">
        <v>2018</v>
      </c>
      <c r="C42" t="s">
        <v>18</v>
      </c>
      <c r="D42" t="s">
        <v>11</v>
      </c>
      <c r="E42" s="1">
        <v>6.713354999999999E-3</v>
      </c>
      <c r="F42" s="3" t="str">
        <f t="shared" si="0"/>
        <v>가능성있음</v>
      </c>
    </row>
    <row r="43" spans="1:6">
      <c r="A43" s="2">
        <v>41</v>
      </c>
      <c r="B43" s="24">
        <v>2018</v>
      </c>
      <c r="C43" t="s">
        <v>18</v>
      </c>
      <c r="D43" t="s">
        <v>12</v>
      </c>
      <c r="E43" s="1">
        <v>7.0335149999999997E-3</v>
      </c>
      <c r="F43" s="3" t="str">
        <f t="shared" si="0"/>
        <v>가능성있음</v>
      </c>
    </row>
    <row r="44" spans="1:6">
      <c r="A44" s="2">
        <v>42</v>
      </c>
      <c r="B44" s="24">
        <v>2018</v>
      </c>
      <c r="C44" t="s">
        <v>19</v>
      </c>
      <c r="D44" t="s">
        <v>7</v>
      </c>
      <c r="E44" s="1">
        <v>0.32486874999999998</v>
      </c>
      <c r="F44" s="3" t="str">
        <f t="shared" si="0"/>
        <v>가능성있음</v>
      </c>
    </row>
    <row r="45" spans="1:6">
      <c r="A45" s="2">
        <v>43</v>
      </c>
      <c r="B45" s="24">
        <v>2018</v>
      </c>
      <c r="C45" t="s">
        <v>19</v>
      </c>
      <c r="D45" t="s">
        <v>8</v>
      </c>
      <c r="E45" s="1">
        <v>2.6742755E-2</v>
      </c>
      <c r="F45" s="3" t="str">
        <f t="shared" si="0"/>
        <v>가능성있음</v>
      </c>
    </row>
    <row r="46" spans="1:6">
      <c r="A46" s="2">
        <v>44</v>
      </c>
      <c r="B46" s="24">
        <v>2018</v>
      </c>
      <c r="C46" t="s">
        <v>19</v>
      </c>
      <c r="D46" t="s">
        <v>9</v>
      </c>
      <c r="E46" s="1">
        <v>2.8852750000000001E-3</v>
      </c>
      <c r="F46" s="3" t="str">
        <f t="shared" si="0"/>
        <v>가능성있음</v>
      </c>
    </row>
    <row r="47" spans="1:6">
      <c r="A47" s="2">
        <v>45</v>
      </c>
      <c r="B47" s="24">
        <v>2018</v>
      </c>
      <c r="C47" t="s">
        <v>19</v>
      </c>
      <c r="D47" t="s">
        <v>10</v>
      </c>
      <c r="E47" s="1">
        <v>4.5767950000000007E-3</v>
      </c>
      <c r="F47" s="3" t="str">
        <f t="shared" si="0"/>
        <v>가능성있음</v>
      </c>
    </row>
    <row r="48" spans="1:6">
      <c r="A48" s="2">
        <v>46</v>
      </c>
      <c r="B48" s="24">
        <v>2018</v>
      </c>
      <c r="C48" t="s">
        <v>19</v>
      </c>
      <c r="D48" t="s">
        <v>11</v>
      </c>
      <c r="E48" s="1">
        <v>2.955755E-3</v>
      </c>
      <c r="F48" s="3" t="str">
        <f t="shared" si="0"/>
        <v>가능성있음</v>
      </c>
    </row>
    <row r="49" spans="1:6">
      <c r="A49" s="2">
        <v>47</v>
      </c>
      <c r="B49" s="24">
        <v>2018</v>
      </c>
      <c r="C49" t="s">
        <v>19</v>
      </c>
      <c r="D49" t="s">
        <v>12</v>
      </c>
      <c r="E49" s="1">
        <v>3.0967149999999999E-3</v>
      </c>
      <c r="F49" s="3" t="str">
        <f t="shared" si="0"/>
        <v>가능성있음</v>
      </c>
    </row>
    <row r="50" spans="1:6">
      <c r="A50" s="2">
        <v>48</v>
      </c>
      <c r="B50" s="24">
        <v>2018</v>
      </c>
      <c r="C50" t="s">
        <v>20</v>
      </c>
      <c r="D50" t="s">
        <v>7</v>
      </c>
      <c r="E50" s="1">
        <v>0.92482500000000012</v>
      </c>
      <c r="F50" s="3" t="str">
        <f t="shared" si="0"/>
        <v>주의</v>
      </c>
    </row>
    <row r="51" spans="1:6">
      <c r="A51" s="2">
        <v>49</v>
      </c>
      <c r="B51" s="24">
        <v>2018</v>
      </c>
      <c r="C51" t="s">
        <v>20</v>
      </c>
      <c r="D51" t="s">
        <v>8</v>
      </c>
      <c r="E51" s="1">
        <v>7.6130340000000005E-2</v>
      </c>
      <c r="F51" s="3" t="str">
        <f t="shared" si="0"/>
        <v>가능성있음</v>
      </c>
    </row>
    <row r="52" spans="1:6">
      <c r="A52" s="2">
        <v>50</v>
      </c>
      <c r="B52" s="24">
        <v>2018</v>
      </c>
      <c r="C52" t="s">
        <v>20</v>
      </c>
      <c r="D52" t="s">
        <v>9</v>
      </c>
      <c r="E52" s="1">
        <v>8.2137000000000009E-3</v>
      </c>
      <c r="F52" s="3" t="str">
        <f t="shared" si="0"/>
        <v>가능성있음</v>
      </c>
    </row>
    <row r="53" spans="1:6">
      <c r="A53" s="2">
        <v>51</v>
      </c>
      <c r="B53" s="24">
        <v>2018</v>
      </c>
      <c r="C53" t="s">
        <v>20</v>
      </c>
      <c r="D53" t="s">
        <v>10</v>
      </c>
      <c r="E53" s="1">
        <v>1.302906E-2</v>
      </c>
      <c r="F53" s="3" t="str">
        <f t="shared" si="0"/>
        <v>가능성있음</v>
      </c>
    </row>
    <row r="54" spans="1:6">
      <c r="A54" s="2">
        <v>52</v>
      </c>
      <c r="B54" s="24">
        <v>2018</v>
      </c>
      <c r="C54" t="s">
        <v>20</v>
      </c>
      <c r="D54" t="s">
        <v>11</v>
      </c>
      <c r="E54" s="1">
        <v>8.4143399999999993E-3</v>
      </c>
      <c r="F54" s="3" t="str">
        <f t="shared" si="0"/>
        <v>가능성있음</v>
      </c>
    </row>
    <row r="55" spans="1:6">
      <c r="A55" s="2">
        <v>53</v>
      </c>
      <c r="B55" s="24">
        <v>2018</v>
      </c>
      <c r="C55" t="s">
        <v>20</v>
      </c>
      <c r="D55" t="s">
        <v>12</v>
      </c>
      <c r="E55" s="1">
        <v>8.8156199999999997E-3</v>
      </c>
      <c r="F55" s="3" t="str">
        <f t="shared" si="0"/>
        <v>가능성있음</v>
      </c>
    </row>
    <row r="56" spans="1:6">
      <c r="A56" s="2">
        <v>54</v>
      </c>
      <c r="B56" s="24">
        <v>2018</v>
      </c>
      <c r="C56" t="s">
        <v>21</v>
      </c>
      <c r="D56" t="s">
        <v>7</v>
      </c>
      <c r="E56" s="1">
        <v>4.3383437499999999</v>
      </c>
      <c r="F56" s="3" t="str">
        <f t="shared" si="0"/>
        <v>주의</v>
      </c>
    </row>
    <row r="57" spans="1:6">
      <c r="A57" s="2">
        <v>55</v>
      </c>
      <c r="B57" s="24">
        <v>2018</v>
      </c>
      <c r="C57" t="s">
        <v>21</v>
      </c>
      <c r="D57" t="s">
        <v>8</v>
      </c>
      <c r="E57" s="1">
        <v>0.357126575</v>
      </c>
      <c r="F57" s="3" t="str">
        <f t="shared" si="0"/>
        <v>가능성있음</v>
      </c>
    </row>
    <row r="58" spans="1:6">
      <c r="A58" s="2">
        <v>56</v>
      </c>
      <c r="B58" s="24">
        <v>2018</v>
      </c>
      <c r="C58" t="s">
        <v>21</v>
      </c>
      <c r="D58" t="s">
        <v>9</v>
      </c>
      <c r="E58" s="1">
        <v>3.8530374999999999E-2</v>
      </c>
      <c r="F58" s="3" t="str">
        <f t="shared" si="0"/>
        <v>가능성있음</v>
      </c>
    </row>
    <row r="59" spans="1:6">
      <c r="A59" s="2">
        <v>57</v>
      </c>
      <c r="B59" s="24">
        <v>2018</v>
      </c>
      <c r="C59" t="s">
        <v>21</v>
      </c>
      <c r="D59" t="s">
        <v>10</v>
      </c>
      <c r="E59" s="1">
        <v>6.1119174999999998E-2</v>
      </c>
      <c r="F59" s="3" t="str">
        <f t="shared" si="0"/>
        <v>가능성있음</v>
      </c>
    </row>
    <row r="60" spans="1:6">
      <c r="A60" s="2">
        <v>58</v>
      </c>
      <c r="B60" s="24">
        <v>2018</v>
      </c>
      <c r="C60" t="s">
        <v>21</v>
      </c>
      <c r="D60" t="s">
        <v>11</v>
      </c>
      <c r="E60" s="1">
        <v>3.9471575000000002E-2</v>
      </c>
      <c r="F60" s="3" t="str">
        <f t="shared" si="0"/>
        <v>가능성있음</v>
      </c>
    </row>
    <row r="61" spans="1:6">
      <c r="A61" s="2">
        <v>59</v>
      </c>
      <c r="B61" s="24">
        <v>2018</v>
      </c>
      <c r="C61" t="s">
        <v>21</v>
      </c>
      <c r="D61" s="25" t="s">
        <v>12</v>
      </c>
      <c r="E61" s="1">
        <v>4.1353975000000001E-2</v>
      </c>
      <c r="F61" s="3" t="str">
        <f t="shared" si="0"/>
        <v>가능성있음</v>
      </c>
    </row>
    <row r="62" spans="1:6">
      <c r="A62" s="2">
        <v>60</v>
      </c>
      <c r="B62">
        <v>2019</v>
      </c>
      <c r="C62" t="s">
        <v>6</v>
      </c>
      <c r="D62" t="s">
        <v>7</v>
      </c>
      <c r="E62" s="1">
        <v>1.0614931400000001</v>
      </c>
      <c r="F62" s="3" t="str">
        <f t="shared" si="0"/>
        <v>주의</v>
      </c>
    </row>
    <row r="63" spans="1:6">
      <c r="A63" s="2">
        <v>61</v>
      </c>
      <c r="B63">
        <v>2019</v>
      </c>
      <c r="C63" t="s">
        <v>6</v>
      </c>
      <c r="D63" t="s">
        <v>8</v>
      </c>
      <c r="E63" s="1">
        <v>0.11593145000000001</v>
      </c>
      <c r="F63" s="3" t="str">
        <f t="shared" si="0"/>
        <v>가능성있음</v>
      </c>
    </row>
    <row r="64" spans="1:6">
      <c r="A64" s="2">
        <v>62</v>
      </c>
      <c r="B64">
        <v>2019</v>
      </c>
      <c r="C64" t="s">
        <v>6</v>
      </c>
      <c r="D64" t="s">
        <v>9</v>
      </c>
      <c r="E64" s="1">
        <v>3.124849E-2</v>
      </c>
      <c r="F64" s="3" t="str">
        <f t="shared" si="0"/>
        <v>가능성있음</v>
      </c>
    </row>
    <row r="65" spans="1:6">
      <c r="A65" s="2">
        <v>63</v>
      </c>
      <c r="B65">
        <v>2019</v>
      </c>
      <c r="C65" t="s">
        <v>6</v>
      </c>
      <c r="D65" t="s">
        <v>10</v>
      </c>
      <c r="E65" s="1">
        <v>1.073467E-2</v>
      </c>
      <c r="F65" s="3" t="str">
        <f t="shared" si="0"/>
        <v>가능성있음</v>
      </c>
    </row>
    <row r="66" spans="1:6">
      <c r="A66" s="2">
        <v>64</v>
      </c>
      <c r="B66">
        <v>2019</v>
      </c>
      <c r="C66" t="s">
        <v>6</v>
      </c>
      <c r="D66" t="s">
        <v>11</v>
      </c>
      <c r="E66" s="1">
        <v>1.431787E-2</v>
      </c>
      <c r="F66" s="3" t="str">
        <f t="shared" ref="F66:F129" si="1">IF(E66&gt;=10, "조치필요", IF(E66&gt;=0.7, "주의", IF(E66&gt;=0, "가능성있음", "")))</f>
        <v>가능성있음</v>
      </c>
    </row>
    <row r="67" spans="1:6">
      <c r="A67" s="2">
        <v>65</v>
      </c>
      <c r="B67">
        <v>2019</v>
      </c>
      <c r="C67" t="s">
        <v>6</v>
      </c>
      <c r="D67" t="s">
        <v>12</v>
      </c>
      <c r="E67" s="1">
        <v>1.693062E-2</v>
      </c>
      <c r="F67" s="3" t="str">
        <f t="shared" si="1"/>
        <v>가능성있음</v>
      </c>
    </row>
    <row r="68" spans="1:6">
      <c r="A68" s="2">
        <v>66</v>
      </c>
      <c r="B68">
        <v>2019</v>
      </c>
      <c r="C68" t="s">
        <v>13</v>
      </c>
      <c r="D68" t="s">
        <v>7</v>
      </c>
      <c r="E68" s="1">
        <v>9.2825548800000011</v>
      </c>
      <c r="F68" s="3" t="str">
        <f t="shared" si="1"/>
        <v>주의</v>
      </c>
    </row>
    <row r="69" spans="1:6">
      <c r="A69" s="2">
        <v>67</v>
      </c>
      <c r="B69">
        <v>2019</v>
      </c>
      <c r="C69" t="s">
        <v>13</v>
      </c>
      <c r="D69" t="s">
        <v>8</v>
      </c>
      <c r="E69" s="1">
        <v>1.0137984</v>
      </c>
      <c r="F69" s="3" t="str">
        <f t="shared" si="1"/>
        <v>주의</v>
      </c>
    </row>
    <row r="70" spans="1:6">
      <c r="A70" s="2">
        <v>68</v>
      </c>
      <c r="B70">
        <v>2019</v>
      </c>
      <c r="C70" t="s">
        <v>13</v>
      </c>
      <c r="D70" t="s">
        <v>9</v>
      </c>
      <c r="E70" s="1">
        <v>0.27326208000000002</v>
      </c>
      <c r="F70" s="3" t="str">
        <f t="shared" si="1"/>
        <v>가능성있음</v>
      </c>
    </row>
    <row r="71" spans="1:6">
      <c r="A71" s="2">
        <v>69</v>
      </c>
      <c r="B71">
        <v>2019</v>
      </c>
      <c r="C71" t="s">
        <v>13</v>
      </c>
      <c r="D71" t="s">
        <v>10</v>
      </c>
      <c r="E71" s="1">
        <v>9.3872640000000007E-2</v>
      </c>
      <c r="F71" s="3" t="str">
        <f t="shared" si="1"/>
        <v>가능성있음</v>
      </c>
    </row>
    <row r="72" spans="1:6">
      <c r="A72" s="2">
        <v>70</v>
      </c>
      <c r="B72">
        <v>2019</v>
      </c>
      <c r="C72" t="s">
        <v>13</v>
      </c>
      <c r="D72" t="s">
        <v>11</v>
      </c>
      <c r="E72" s="1">
        <v>0.12520703999999999</v>
      </c>
      <c r="F72" s="3" t="str">
        <f t="shared" si="1"/>
        <v>가능성있음</v>
      </c>
    </row>
    <row r="73" spans="1:6">
      <c r="A73" s="2">
        <v>71</v>
      </c>
      <c r="B73">
        <v>2019</v>
      </c>
      <c r="C73" t="s">
        <v>13</v>
      </c>
      <c r="D73" t="s">
        <v>12</v>
      </c>
      <c r="E73" s="1">
        <v>0.14805504</v>
      </c>
      <c r="F73" s="3" t="str">
        <f t="shared" si="1"/>
        <v>가능성있음</v>
      </c>
    </row>
    <row r="74" spans="1:6">
      <c r="A74" s="2">
        <v>72</v>
      </c>
      <c r="B74">
        <v>2019</v>
      </c>
      <c r="C74" t="s">
        <v>14</v>
      </c>
      <c r="D74" t="s">
        <v>7</v>
      </c>
      <c r="E74" s="1">
        <v>9.5690798199999989</v>
      </c>
      <c r="F74" s="3" t="str">
        <f t="shared" si="1"/>
        <v>주의</v>
      </c>
    </row>
    <row r="75" spans="1:6">
      <c r="A75" s="2">
        <v>73</v>
      </c>
      <c r="B75">
        <v>2019</v>
      </c>
      <c r="C75" t="s">
        <v>14</v>
      </c>
      <c r="D75" t="s">
        <v>8</v>
      </c>
      <c r="E75" s="1">
        <v>1.0450913500000001</v>
      </c>
      <c r="F75" s="3" t="str">
        <f t="shared" si="1"/>
        <v>주의</v>
      </c>
    </row>
    <row r="76" spans="1:6">
      <c r="A76" s="2">
        <v>74</v>
      </c>
      <c r="B76">
        <v>2019</v>
      </c>
      <c r="C76" t="s">
        <v>14</v>
      </c>
      <c r="D76" t="s">
        <v>9</v>
      </c>
      <c r="E76" s="1">
        <v>0.28169686999999999</v>
      </c>
      <c r="F76" s="3" t="str">
        <f t="shared" si="1"/>
        <v>가능성있음</v>
      </c>
    </row>
    <row r="77" spans="1:6">
      <c r="A77" s="2">
        <v>75</v>
      </c>
      <c r="B77">
        <v>2019</v>
      </c>
      <c r="C77" t="s">
        <v>14</v>
      </c>
      <c r="D77" t="s">
        <v>10</v>
      </c>
      <c r="E77" s="1">
        <v>9.6770209999999995E-2</v>
      </c>
      <c r="F77" s="3" t="str">
        <f t="shared" si="1"/>
        <v>가능성있음</v>
      </c>
    </row>
    <row r="78" spans="1:6">
      <c r="A78" s="2">
        <v>76</v>
      </c>
      <c r="B78">
        <v>2019</v>
      </c>
      <c r="C78" t="s">
        <v>14</v>
      </c>
      <c r="D78" t="s">
        <v>11</v>
      </c>
      <c r="E78" s="1">
        <v>0.12907181000000001</v>
      </c>
      <c r="F78" s="3" t="str">
        <f t="shared" si="1"/>
        <v>가능성있음</v>
      </c>
    </row>
    <row r="79" spans="1:6">
      <c r="A79" s="2">
        <v>77</v>
      </c>
      <c r="B79">
        <v>2019</v>
      </c>
      <c r="C79" t="s">
        <v>14</v>
      </c>
      <c r="D79" t="s">
        <v>12</v>
      </c>
      <c r="E79" s="1">
        <v>0.15262506000000001</v>
      </c>
      <c r="F79" s="3" t="str">
        <f t="shared" si="1"/>
        <v>가능성있음</v>
      </c>
    </row>
    <row r="80" spans="1:6">
      <c r="A80" s="2">
        <v>78</v>
      </c>
      <c r="B80">
        <v>2019</v>
      </c>
      <c r="C80" t="s">
        <v>15</v>
      </c>
      <c r="D80" t="s">
        <v>7</v>
      </c>
      <c r="E80" s="1">
        <v>0.57838223</v>
      </c>
      <c r="F80" s="3" t="str">
        <f t="shared" si="1"/>
        <v>가능성있음</v>
      </c>
    </row>
    <row r="81" spans="1:6">
      <c r="A81" s="2">
        <v>79</v>
      </c>
      <c r="B81">
        <v>2019</v>
      </c>
      <c r="C81" t="s">
        <v>15</v>
      </c>
      <c r="D81" t="s">
        <v>8</v>
      </c>
      <c r="E81" s="1">
        <v>6.3168274999999996E-2</v>
      </c>
      <c r="F81" s="3" t="str">
        <f t="shared" si="1"/>
        <v>가능성있음</v>
      </c>
    </row>
    <row r="82" spans="1:6">
      <c r="A82" s="2">
        <v>80</v>
      </c>
      <c r="B82">
        <v>2019</v>
      </c>
      <c r="C82" t="s">
        <v>15</v>
      </c>
      <c r="D82" t="s">
        <v>9</v>
      </c>
      <c r="E82" s="1">
        <v>1.7026554999999999E-2</v>
      </c>
      <c r="F82" s="3" t="str">
        <f t="shared" si="1"/>
        <v>가능성있음</v>
      </c>
    </row>
    <row r="83" spans="1:6">
      <c r="A83" s="2">
        <v>81</v>
      </c>
      <c r="B83">
        <v>2019</v>
      </c>
      <c r="C83" t="s">
        <v>15</v>
      </c>
      <c r="D83" t="s">
        <v>10</v>
      </c>
      <c r="E83" s="1">
        <v>5.8490650000000014E-3</v>
      </c>
      <c r="F83" s="3" t="str">
        <f t="shared" si="1"/>
        <v>가능성있음</v>
      </c>
    </row>
    <row r="84" spans="1:6">
      <c r="A84" s="2">
        <v>82</v>
      </c>
      <c r="B84">
        <v>2019</v>
      </c>
      <c r="C84" t="s">
        <v>15</v>
      </c>
      <c r="D84" t="s">
        <v>11</v>
      </c>
      <c r="E84" s="1">
        <v>7.8014649999999996E-3</v>
      </c>
      <c r="F84" s="3" t="str">
        <f t="shared" si="1"/>
        <v>가능성있음</v>
      </c>
    </row>
    <row r="85" spans="1:6">
      <c r="A85" s="2">
        <v>83</v>
      </c>
      <c r="B85">
        <v>2019</v>
      </c>
      <c r="C85" t="s">
        <v>15</v>
      </c>
      <c r="D85" t="s">
        <v>12</v>
      </c>
      <c r="E85" s="1">
        <v>9.2250899999999983E-3</v>
      </c>
      <c r="F85" s="3" t="str">
        <f t="shared" si="1"/>
        <v>가능성있음</v>
      </c>
    </row>
    <row r="86" spans="1:6">
      <c r="A86" s="2">
        <v>84</v>
      </c>
      <c r="B86">
        <v>2019</v>
      </c>
      <c r="C86" t="s">
        <v>16</v>
      </c>
      <c r="D86" t="s">
        <v>7</v>
      </c>
      <c r="E86" s="1">
        <v>2.32454911</v>
      </c>
      <c r="F86" s="3" t="str">
        <f t="shared" si="1"/>
        <v>주의</v>
      </c>
    </row>
    <row r="87" spans="1:6">
      <c r="A87" s="2">
        <v>85</v>
      </c>
      <c r="B87">
        <v>2019</v>
      </c>
      <c r="C87" t="s">
        <v>16</v>
      </c>
      <c r="D87" t="s">
        <v>8</v>
      </c>
      <c r="E87" s="1">
        <v>0.253876675</v>
      </c>
      <c r="F87" s="3" t="str">
        <f t="shared" si="1"/>
        <v>가능성있음</v>
      </c>
    </row>
    <row r="88" spans="1:6">
      <c r="A88" s="2">
        <v>86</v>
      </c>
      <c r="B88">
        <v>2019</v>
      </c>
      <c r="C88" t="s">
        <v>16</v>
      </c>
      <c r="D88" t="s">
        <v>9</v>
      </c>
      <c r="E88" s="1">
        <v>6.8430635000000004E-2</v>
      </c>
      <c r="F88" s="3" t="str">
        <f t="shared" si="1"/>
        <v>가능성있음</v>
      </c>
    </row>
    <row r="89" spans="1:6">
      <c r="A89" s="2">
        <v>87</v>
      </c>
      <c r="B89">
        <v>2019</v>
      </c>
      <c r="C89" t="s">
        <v>16</v>
      </c>
      <c r="D89" t="s">
        <v>10</v>
      </c>
      <c r="E89" s="1">
        <v>2.3507705E-2</v>
      </c>
      <c r="F89" s="3" t="str">
        <f t="shared" si="1"/>
        <v>가능성있음</v>
      </c>
    </row>
    <row r="90" spans="1:6">
      <c r="A90" s="2">
        <v>88</v>
      </c>
      <c r="B90">
        <v>2019</v>
      </c>
      <c r="C90" t="s">
        <v>16</v>
      </c>
      <c r="D90" t="s">
        <v>11</v>
      </c>
      <c r="E90" s="1">
        <v>3.1354504999999998E-2</v>
      </c>
      <c r="F90" s="3" t="str">
        <f t="shared" si="1"/>
        <v>가능성있음</v>
      </c>
    </row>
    <row r="91" spans="1:6">
      <c r="A91" s="2">
        <v>89</v>
      </c>
      <c r="B91">
        <v>2019</v>
      </c>
      <c r="C91" t="s">
        <v>16</v>
      </c>
      <c r="D91" t="s">
        <v>12</v>
      </c>
      <c r="E91" s="1">
        <v>3.7076129999999999E-2</v>
      </c>
      <c r="F91" s="3" t="str">
        <f t="shared" si="1"/>
        <v>가능성있음</v>
      </c>
    </row>
    <row r="92" spans="1:6">
      <c r="A92" s="2">
        <v>90</v>
      </c>
      <c r="B92">
        <v>2019</v>
      </c>
      <c r="C92" t="s">
        <v>17</v>
      </c>
      <c r="D92" t="s">
        <v>7</v>
      </c>
      <c r="E92" s="1">
        <v>0.14326247</v>
      </c>
      <c r="F92" s="3" t="str">
        <f t="shared" si="1"/>
        <v>가능성있음</v>
      </c>
    </row>
    <row r="93" spans="1:6">
      <c r="A93" s="2">
        <v>91</v>
      </c>
      <c r="B93">
        <v>2019</v>
      </c>
      <c r="C93" t="s">
        <v>17</v>
      </c>
      <c r="D93" t="s">
        <v>8</v>
      </c>
      <c r="E93" s="1">
        <v>1.5646475E-2</v>
      </c>
      <c r="F93" s="3" t="str">
        <f t="shared" si="1"/>
        <v>가능성있음</v>
      </c>
    </row>
    <row r="94" spans="1:6">
      <c r="A94" s="2">
        <v>92</v>
      </c>
      <c r="B94">
        <v>2019</v>
      </c>
      <c r="C94" t="s">
        <v>17</v>
      </c>
      <c r="D94" t="s">
        <v>9</v>
      </c>
      <c r="E94" s="1">
        <v>4.2173949999999997E-3</v>
      </c>
      <c r="F94" s="3" t="str">
        <f t="shared" si="1"/>
        <v>가능성있음</v>
      </c>
    </row>
    <row r="95" spans="1:6">
      <c r="A95" s="2">
        <v>93</v>
      </c>
      <c r="B95">
        <v>2019</v>
      </c>
      <c r="C95" t="s">
        <v>17</v>
      </c>
      <c r="D95" t="s">
        <v>10</v>
      </c>
      <c r="E95" s="1">
        <v>1.448785E-3</v>
      </c>
      <c r="F95" s="3" t="str">
        <f t="shared" si="1"/>
        <v>가능성있음</v>
      </c>
    </row>
    <row r="96" spans="1:6">
      <c r="A96" s="2">
        <v>94</v>
      </c>
      <c r="B96">
        <v>2019</v>
      </c>
      <c r="C96" t="s">
        <v>17</v>
      </c>
      <c r="D96" t="s">
        <v>11</v>
      </c>
      <c r="E96" s="1">
        <v>1.932385E-3</v>
      </c>
      <c r="F96" s="3" t="str">
        <f t="shared" si="1"/>
        <v>가능성있음</v>
      </c>
    </row>
    <row r="97" spans="1:6">
      <c r="A97" s="2">
        <v>95</v>
      </c>
      <c r="B97">
        <v>2019</v>
      </c>
      <c r="C97" t="s">
        <v>17</v>
      </c>
      <c r="D97" t="s">
        <v>12</v>
      </c>
      <c r="E97" s="1">
        <v>2.2850100000000001E-3</v>
      </c>
      <c r="F97" s="3" t="str">
        <f t="shared" si="1"/>
        <v>가능성있음</v>
      </c>
    </row>
    <row r="98" spans="1:6">
      <c r="A98" s="2">
        <v>96</v>
      </c>
      <c r="B98">
        <v>2019</v>
      </c>
      <c r="C98" t="s">
        <v>18</v>
      </c>
      <c r="D98" t="s">
        <v>7</v>
      </c>
      <c r="E98" s="1">
        <v>0.59437927999999995</v>
      </c>
      <c r="F98" s="3" t="str">
        <f t="shared" si="1"/>
        <v>가능성있음</v>
      </c>
    </row>
    <row r="99" spans="1:6">
      <c r="A99" s="2">
        <v>97</v>
      </c>
      <c r="B99">
        <v>2019</v>
      </c>
      <c r="C99" t="s">
        <v>18</v>
      </c>
      <c r="D99" t="s">
        <v>8</v>
      </c>
      <c r="E99" s="1">
        <v>6.4915399999999984E-2</v>
      </c>
      <c r="F99" s="3" t="str">
        <f t="shared" si="1"/>
        <v>가능성있음</v>
      </c>
    </row>
    <row r="100" spans="1:6">
      <c r="A100" s="2">
        <v>98</v>
      </c>
      <c r="B100">
        <v>2019</v>
      </c>
      <c r="C100" t="s">
        <v>18</v>
      </c>
      <c r="D100" t="s">
        <v>9</v>
      </c>
      <c r="E100" s="1">
        <v>1.7497479999999999E-2</v>
      </c>
      <c r="F100" s="3" t="str">
        <f t="shared" si="1"/>
        <v>가능성있음</v>
      </c>
    </row>
    <row r="101" spans="1:6">
      <c r="A101" s="2">
        <v>99</v>
      </c>
      <c r="B101">
        <v>2019</v>
      </c>
      <c r="C101" t="s">
        <v>18</v>
      </c>
      <c r="D101" t="s">
        <v>10</v>
      </c>
      <c r="E101" s="1">
        <v>6.0108399999999999E-3</v>
      </c>
      <c r="F101" s="3" t="str">
        <f t="shared" si="1"/>
        <v>가능성있음</v>
      </c>
    </row>
    <row r="102" spans="1:6">
      <c r="A102" s="2">
        <v>100</v>
      </c>
      <c r="B102">
        <v>2019</v>
      </c>
      <c r="C102" t="s">
        <v>18</v>
      </c>
      <c r="D102" t="s">
        <v>11</v>
      </c>
      <c r="E102" s="1">
        <v>8.0172399999999984E-3</v>
      </c>
      <c r="F102" s="3" t="str">
        <f t="shared" si="1"/>
        <v>가능성있음</v>
      </c>
    </row>
    <row r="103" spans="1:6">
      <c r="A103" s="2">
        <v>101</v>
      </c>
      <c r="B103">
        <v>2019</v>
      </c>
      <c r="C103" t="s">
        <v>18</v>
      </c>
      <c r="D103" t="s">
        <v>12</v>
      </c>
      <c r="E103" s="1">
        <v>9.4802399999999992E-3</v>
      </c>
      <c r="F103" s="3" t="str">
        <f t="shared" si="1"/>
        <v>가능성있음</v>
      </c>
    </row>
    <row r="104" spans="1:6">
      <c r="A104" s="2">
        <v>102</v>
      </c>
      <c r="B104">
        <v>2019</v>
      </c>
      <c r="C104" t="s">
        <v>19</v>
      </c>
      <c r="D104" t="s">
        <v>7</v>
      </c>
      <c r="E104" s="1">
        <v>0.26519554000000001</v>
      </c>
      <c r="F104" s="3" t="str">
        <f t="shared" si="1"/>
        <v>가능성있음</v>
      </c>
    </row>
    <row r="105" spans="1:6">
      <c r="A105" s="2">
        <v>103</v>
      </c>
      <c r="B105">
        <v>2019</v>
      </c>
      <c r="C105" t="s">
        <v>19</v>
      </c>
      <c r="D105" t="s">
        <v>8</v>
      </c>
      <c r="E105" s="1">
        <v>2.8963450000000002E-2</v>
      </c>
      <c r="F105" s="3" t="str">
        <f t="shared" si="1"/>
        <v>가능성있음</v>
      </c>
    </row>
    <row r="106" spans="1:6">
      <c r="A106" s="2">
        <v>104</v>
      </c>
      <c r="B106">
        <v>2019</v>
      </c>
      <c r="C106" t="s">
        <v>19</v>
      </c>
      <c r="D106" t="s">
        <v>9</v>
      </c>
      <c r="E106" s="1">
        <v>7.8068899999999986E-3</v>
      </c>
      <c r="F106" s="3" t="str">
        <f t="shared" si="1"/>
        <v>가능성있음</v>
      </c>
    </row>
    <row r="107" spans="1:6">
      <c r="A107" s="2">
        <v>105</v>
      </c>
      <c r="B107">
        <v>2019</v>
      </c>
      <c r="C107" t="s">
        <v>19</v>
      </c>
      <c r="D107" t="s">
        <v>10</v>
      </c>
      <c r="E107" s="1">
        <v>2.6818699999999998E-3</v>
      </c>
      <c r="F107" s="3" t="str">
        <f t="shared" si="1"/>
        <v>가능성있음</v>
      </c>
    </row>
    <row r="108" spans="1:6">
      <c r="A108" s="2">
        <v>106</v>
      </c>
      <c r="B108">
        <v>2019</v>
      </c>
      <c r="C108" t="s">
        <v>19</v>
      </c>
      <c r="D108" t="s">
        <v>11</v>
      </c>
      <c r="E108" s="1">
        <v>3.5770699999999999E-3</v>
      </c>
      <c r="F108" s="3" t="str">
        <f t="shared" si="1"/>
        <v>가능성있음</v>
      </c>
    </row>
    <row r="109" spans="1:6">
      <c r="A109" s="2">
        <v>107</v>
      </c>
      <c r="B109">
        <v>2019</v>
      </c>
      <c r="C109" t="s">
        <v>19</v>
      </c>
      <c r="D109" t="s">
        <v>12</v>
      </c>
      <c r="E109" s="1">
        <v>4.2298199999999996E-3</v>
      </c>
      <c r="F109" s="3" t="str">
        <f t="shared" si="1"/>
        <v>가능성있음</v>
      </c>
    </row>
    <row r="110" spans="1:6">
      <c r="A110" s="2">
        <v>108</v>
      </c>
      <c r="B110">
        <v>2019</v>
      </c>
      <c r="C110" t="s">
        <v>20</v>
      </c>
      <c r="D110" t="s">
        <v>7</v>
      </c>
      <c r="E110" s="1">
        <v>1.1780938599999999</v>
      </c>
      <c r="F110" s="3" t="str">
        <f t="shared" si="1"/>
        <v>주의</v>
      </c>
    </row>
    <row r="111" spans="1:6">
      <c r="A111" s="2">
        <v>109</v>
      </c>
      <c r="B111">
        <v>2019</v>
      </c>
      <c r="C111" t="s">
        <v>20</v>
      </c>
      <c r="D111" t="s">
        <v>8</v>
      </c>
      <c r="E111" s="1">
        <v>0.12866605</v>
      </c>
      <c r="F111" s="3" t="str">
        <f t="shared" si="1"/>
        <v>가능성있음</v>
      </c>
    </row>
    <row r="112" spans="1:6">
      <c r="A112" s="2">
        <v>110</v>
      </c>
      <c r="B112">
        <v>2019</v>
      </c>
      <c r="C112" t="s">
        <v>20</v>
      </c>
      <c r="D112" t="s">
        <v>9</v>
      </c>
      <c r="E112" s="1">
        <v>3.4681010000000012E-2</v>
      </c>
      <c r="F112" s="3" t="str">
        <f t="shared" si="1"/>
        <v>가능성있음</v>
      </c>
    </row>
    <row r="113" spans="1:6">
      <c r="A113" s="2">
        <v>111</v>
      </c>
      <c r="B113">
        <v>2019</v>
      </c>
      <c r="C113" t="s">
        <v>20</v>
      </c>
      <c r="D113" t="s">
        <v>10</v>
      </c>
      <c r="E113" s="1">
        <v>1.191383E-2</v>
      </c>
      <c r="F113" s="3" t="str">
        <f t="shared" si="1"/>
        <v>가능성있음</v>
      </c>
    </row>
    <row r="114" spans="1:6">
      <c r="A114" s="2">
        <v>112</v>
      </c>
      <c r="B114">
        <v>2019</v>
      </c>
      <c r="C114" t="s">
        <v>20</v>
      </c>
      <c r="D114" t="s">
        <v>11</v>
      </c>
      <c r="E114" s="1">
        <v>1.5890629999999999E-2</v>
      </c>
      <c r="F114" s="3" t="str">
        <f t="shared" si="1"/>
        <v>가능성있음</v>
      </c>
    </row>
    <row r="115" spans="1:6">
      <c r="A115" s="2">
        <v>113</v>
      </c>
      <c r="B115">
        <v>2019</v>
      </c>
      <c r="C115" t="s">
        <v>20</v>
      </c>
      <c r="D115" t="s">
        <v>12</v>
      </c>
      <c r="E115" s="1">
        <v>1.8790379999999999E-2</v>
      </c>
      <c r="F115" s="3" t="str">
        <f t="shared" si="1"/>
        <v>가능성있음</v>
      </c>
    </row>
    <row r="116" spans="1:6">
      <c r="A116" s="2">
        <v>114</v>
      </c>
      <c r="B116">
        <v>2019</v>
      </c>
      <c r="C116" t="s">
        <v>21</v>
      </c>
      <c r="D116" t="s">
        <v>7</v>
      </c>
      <c r="E116" s="1">
        <v>5.6629556999999986</v>
      </c>
      <c r="F116" s="3" t="str">
        <f t="shared" si="1"/>
        <v>주의</v>
      </c>
    </row>
    <row r="117" spans="1:6">
      <c r="A117" s="2">
        <v>115</v>
      </c>
      <c r="B117">
        <v>2019</v>
      </c>
      <c r="C117" t="s">
        <v>21</v>
      </c>
      <c r="D117" t="s">
        <v>8</v>
      </c>
      <c r="E117" s="1">
        <v>0.6184822499999999</v>
      </c>
      <c r="F117" s="3" t="str">
        <f t="shared" si="1"/>
        <v>가능성있음</v>
      </c>
    </row>
    <row r="118" spans="1:6">
      <c r="A118" s="2">
        <v>116</v>
      </c>
      <c r="B118">
        <v>2019</v>
      </c>
      <c r="C118" t="s">
        <v>21</v>
      </c>
      <c r="D118" t="s">
        <v>9</v>
      </c>
      <c r="E118" s="1">
        <v>0.16670745000000001</v>
      </c>
      <c r="F118" s="3" t="str">
        <f t="shared" si="1"/>
        <v>가능성있음</v>
      </c>
    </row>
    <row r="119" spans="1:6">
      <c r="A119" s="2">
        <v>117</v>
      </c>
      <c r="B119">
        <v>2019</v>
      </c>
      <c r="C119" t="s">
        <v>21</v>
      </c>
      <c r="D119" t="s">
        <v>10</v>
      </c>
      <c r="E119" s="1">
        <v>5.7268350000000003E-2</v>
      </c>
      <c r="F119" s="3" t="str">
        <f t="shared" si="1"/>
        <v>가능성있음</v>
      </c>
    </row>
    <row r="120" spans="1:6">
      <c r="A120" s="2">
        <v>118</v>
      </c>
      <c r="B120">
        <v>2019</v>
      </c>
      <c r="C120" t="s">
        <v>21</v>
      </c>
      <c r="D120" t="s">
        <v>11</v>
      </c>
      <c r="E120" s="1">
        <v>7.6384350000000004E-2</v>
      </c>
      <c r="F120" s="3" t="str">
        <f t="shared" si="1"/>
        <v>가능성있음</v>
      </c>
    </row>
    <row r="121" spans="1:6">
      <c r="A121" s="2">
        <v>119</v>
      </c>
      <c r="B121">
        <v>2019</v>
      </c>
      <c r="C121" t="s">
        <v>21</v>
      </c>
      <c r="D121" t="s">
        <v>12</v>
      </c>
      <c r="E121" s="1">
        <v>9.032309999999999E-2</v>
      </c>
      <c r="F121" s="3" t="str">
        <f t="shared" si="1"/>
        <v>가능성있음</v>
      </c>
    </row>
    <row r="122" spans="1:6">
      <c r="A122" s="2">
        <v>120</v>
      </c>
      <c r="B122">
        <v>2020</v>
      </c>
      <c r="C122" t="s">
        <v>6</v>
      </c>
      <c r="D122" t="s">
        <v>7</v>
      </c>
      <c r="E122" s="1">
        <v>1.450784735</v>
      </c>
      <c r="F122" s="3" t="str">
        <f t="shared" si="1"/>
        <v>주의</v>
      </c>
    </row>
    <row r="123" spans="1:6">
      <c r="A123" s="2">
        <v>121</v>
      </c>
      <c r="B123">
        <v>2020</v>
      </c>
      <c r="C123" t="s">
        <v>6</v>
      </c>
      <c r="D123" t="s">
        <v>8</v>
      </c>
      <c r="E123" s="1">
        <v>0.13730438</v>
      </c>
      <c r="F123" s="3" t="str">
        <f t="shared" si="1"/>
        <v>가능성있음</v>
      </c>
    </row>
    <row r="124" spans="1:6">
      <c r="A124" s="2">
        <v>122</v>
      </c>
      <c r="B124">
        <v>2020</v>
      </c>
      <c r="C124" t="s">
        <v>6</v>
      </c>
      <c r="D124" t="s">
        <v>9</v>
      </c>
      <c r="E124" s="1">
        <v>2.4247649999999999E-2</v>
      </c>
      <c r="F124" s="3" t="str">
        <f t="shared" si="1"/>
        <v>가능성있음</v>
      </c>
    </row>
    <row r="125" spans="1:6">
      <c r="A125" s="2">
        <v>123</v>
      </c>
      <c r="B125">
        <v>2020</v>
      </c>
      <c r="C125" t="s">
        <v>6</v>
      </c>
      <c r="D125" t="s">
        <v>10</v>
      </c>
      <c r="E125" s="1">
        <v>9.7485449999999991E-3</v>
      </c>
      <c r="F125" s="3" t="str">
        <f t="shared" si="1"/>
        <v>가능성있음</v>
      </c>
    </row>
    <row r="126" spans="1:6">
      <c r="A126" s="2">
        <v>124</v>
      </c>
      <c r="B126">
        <v>2020</v>
      </c>
      <c r="C126" t="s">
        <v>6</v>
      </c>
      <c r="D126" t="s">
        <v>11</v>
      </c>
      <c r="E126" s="1">
        <v>1.0276385000000001E-2</v>
      </c>
      <c r="F126" s="3" t="str">
        <f t="shared" si="1"/>
        <v>가능성있음</v>
      </c>
    </row>
    <row r="127" spans="1:6">
      <c r="A127" s="2">
        <v>125</v>
      </c>
      <c r="B127">
        <v>2020</v>
      </c>
      <c r="C127" t="s">
        <v>6</v>
      </c>
      <c r="D127" t="s">
        <v>12</v>
      </c>
      <c r="E127" s="1">
        <v>1.7138305E-2</v>
      </c>
      <c r="F127" s="3" t="str">
        <f t="shared" si="1"/>
        <v>가능성있음</v>
      </c>
    </row>
    <row r="128" spans="1:6">
      <c r="A128" s="2">
        <v>126</v>
      </c>
      <c r="B128">
        <v>2020</v>
      </c>
      <c r="C128" t="s">
        <v>13</v>
      </c>
      <c r="D128" t="s">
        <v>7</v>
      </c>
      <c r="E128" s="1">
        <v>13.919002015</v>
      </c>
      <c r="F128" s="3" t="str">
        <f t="shared" si="1"/>
        <v>조치필요</v>
      </c>
    </row>
    <row r="129" spans="1:6">
      <c r="A129" s="2">
        <v>127</v>
      </c>
      <c r="B129">
        <v>2020</v>
      </c>
      <c r="C129" t="s">
        <v>13</v>
      </c>
      <c r="D129" t="s">
        <v>8</v>
      </c>
      <c r="E129" s="1">
        <v>1.3173146200000001</v>
      </c>
      <c r="F129" s="3" t="str">
        <f t="shared" si="1"/>
        <v>주의</v>
      </c>
    </row>
    <row r="130" spans="1:6">
      <c r="A130" s="2">
        <v>128</v>
      </c>
      <c r="B130">
        <v>2020</v>
      </c>
      <c r="C130" t="s">
        <v>13</v>
      </c>
      <c r="D130" t="s">
        <v>9</v>
      </c>
      <c r="E130" s="1">
        <v>0.23263485</v>
      </c>
      <c r="F130" s="3" t="str">
        <f t="shared" ref="F130:F193" si="2">IF(E130&gt;=10, "조치필요", IF(E130&gt;=0.7, "주의", IF(E130&gt;=0, "가능성있음", "")))</f>
        <v>가능성있음</v>
      </c>
    </row>
    <row r="131" spans="1:6">
      <c r="A131" s="2">
        <v>129</v>
      </c>
      <c r="B131">
        <v>2020</v>
      </c>
      <c r="C131" t="s">
        <v>13</v>
      </c>
      <c r="D131" t="s">
        <v>10</v>
      </c>
      <c r="E131" s="1">
        <v>9.3528705000000004E-2</v>
      </c>
      <c r="F131" s="3" t="str">
        <f t="shared" si="2"/>
        <v>가능성있음</v>
      </c>
    </row>
    <row r="132" spans="1:6">
      <c r="A132" s="2">
        <v>130</v>
      </c>
      <c r="B132">
        <v>2020</v>
      </c>
      <c r="C132" t="s">
        <v>13</v>
      </c>
      <c r="D132" t="s">
        <v>11</v>
      </c>
      <c r="E132" s="1">
        <v>9.8592865000000002E-2</v>
      </c>
      <c r="F132" s="3" t="str">
        <f t="shared" si="2"/>
        <v>가능성있음</v>
      </c>
    </row>
    <row r="133" spans="1:6">
      <c r="A133" s="2">
        <v>131</v>
      </c>
      <c r="B133">
        <v>2020</v>
      </c>
      <c r="C133" t="s">
        <v>13</v>
      </c>
      <c r="D133" t="s">
        <v>12</v>
      </c>
      <c r="E133" s="1">
        <v>0.16442694499999999</v>
      </c>
      <c r="F133" s="3" t="str">
        <f t="shared" si="2"/>
        <v>가능성있음</v>
      </c>
    </row>
    <row r="134" spans="1:6">
      <c r="A134" s="2">
        <v>132</v>
      </c>
      <c r="B134">
        <v>2020</v>
      </c>
      <c r="C134" t="s">
        <v>14</v>
      </c>
      <c r="D134" t="s">
        <v>7</v>
      </c>
      <c r="E134" s="1">
        <v>15.021932635000001</v>
      </c>
      <c r="F134" s="3" t="str">
        <f t="shared" si="2"/>
        <v>조치필요</v>
      </c>
    </row>
    <row r="135" spans="1:6">
      <c r="A135" s="2">
        <v>133</v>
      </c>
      <c r="B135">
        <v>2020</v>
      </c>
      <c r="C135" t="s">
        <v>14</v>
      </c>
      <c r="D135" t="s">
        <v>8</v>
      </c>
      <c r="E135" s="1">
        <v>1.42169758</v>
      </c>
      <c r="F135" s="3" t="str">
        <f t="shared" si="2"/>
        <v>주의</v>
      </c>
    </row>
    <row r="136" spans="1:6">
      <c r="A136" s="2">
        <v>134</v>
      </c>
      <c r="B136">
        <v>2020</v>
      </c>
      <c r="C136" t="s">
        <v>14</v>
      </c>
      <c r="D136" t="s">
        <v>9</v>
      </c>
      <c r="E136" s="1">
        <v>0.25106865</v>
      </c>
      <c r="F136" s="3" t="str">
        <f t="shared" si="2"/>
        <v>가능성있음</v>
      </c>
    </row>
    <row r="137" spans="1:6">
      <c r="A137" s="2">
        <v>135</v>
      </c>
      <c r="B137">
        <v>2020</v>
      </c>
      <c r="C137" t="s">
        <v>14</v>
      </c>
      <c r="D137" t="s">
        <v>10</v>
      </c>
      <c r="E137" s="1">
        <v>0.100939845</v>
      </c>
      <c r="F137" s="3" t="str">
        <f t="shared" si="2"/>
        <v>가능성있음</v>
      </c>
    </row>
    <row r="138" spans="1:6">
      <c r="A138" s="2">
        <v>136</v>
      </c>
      <c r="B138">
        <v>2020</v>
      </c>
      <c r="C138" t="s">
        <v>14</v>
      </c>
      <c r="D138" t="s">
        <v>11</v>
      </c>
      <c r="E138" s="1">
        <v>0.106405285</v>
      </c>
      <c r="F138" s="3" t="str">
        <f t="shared" si="2"/>
        <v>가능성있음</v>
      </c>
    </row>
    <row r="139" spans="1:6">
      <c r="A139" s="2">
        <v>137</v>
      </c>
      <c r="B139">
        <v>2020</v>
      </c>
      <c r="C139" t="s">
        <v>14</v>
      </c>
      <c r="D139" t="s">
        <v>12</v>
      </c>
      <c r="E139" s="1">
        <v>0.177456005</v>
      </c>
      <c r="F139" s="3" t="str">
        <f t="shared" si="2"/>
        <v>가능성있음</v>
      </c>
    </row>
    <row r="140" spans="1:6">
      <c r="A140" s="2">
        <v>138</v>
      </c>
      <c r="B140">
        <v>2020</v>
      </c>
      <c r="C140" t="s">
        <v>15</v>
      </c>
      <c r="D140" t="s">
        <v>7</v>
      </c>
      <c r="E140" s="1">
        <v>0.80740853999999995</v>
      </c>
      <c r="F140" s="3" t="str">
        <f t="shared" si="2"/>
        <v>주의</v>
      </c>
    </row>
    <row r="141" spans="1:6">
      <c r="A141" s="2">
        <v>139</v>
      </c>
      <c r="B141">
        <v>2020</v>
      </c>
      <c r="C141" t="s">
        <v>15</v>
      </c>
      <c r="D141" t="s">
        <v>8</v>
      </c>
      <c r="E141" s="1">
        <v>7.6414319999999994E-2</v>
      </c>
      <c r="F141" s="3" t="str">
        <f t="shared" si="2"/>
        <v>가능성있음</v>
      </c>
    </row>
    <row r="142" spans="1:6">
      <c r="A142" s="2">
        <v>140</v>
      </c>
      <c r="B142">
        <v>2020</v>
      </c>
      <c r="C142" t="s">
        <v>15</v>
      </c>
      <c r="D142" t="s">
        <v>9</v>
      </c>
      <c r="E142" s="1">
        <v>1.3494600000000001E-2</v>
      </c>
      <c r="F142" s="3" t="str">
        <f t="shared" si="2"/>
        <v>가능성있음</v>
      </c>
    </row>
    <row r="143" spans="1:6">
      <c r="A143" s="2">
        <v>141</v>
      </c>
      <c r="B143">
        <v>2020</v>
      </c>
      <c r="C143" t="s">
        <v>15</v>
      </c>
      <c r="D143" t="s">
        <v>10</v>
      </c>
      <c r="E143" s="1">
        <v>5.4253799999999996E-3</v>
      </c>
      <c r="F143" s="3" t="str">
        <f t="shared" si="2"/>
        <v>가능성있음</v>
      </c>
    </row>
    <row r="144" spans="1:6">
      <c r="A144" s="2">
        <v>142</v>
      </c>
      <c r="B144">
        <v>2020</v>
      </c>
      <c r="C144" t="s">
        <v>15</v>
      </c>
      <c r="D144" t="s">
        <v>11</v>
      </c>
      <c r="E144" s="1">
        <v>5.719140000000001E-3</v>
      </c>
      <c r="F144" s="3" t="str">
        <f t="shared" si="2"/>
        <v>가능성있음</v>
      </c>
    </row>
    <row r="145" spans="1:6">
      <c r="A145" s="2">
        <v>143</v>
      </c>
      <c r="B145">
        <v>2020</v>
      </c>
      <c r="C145" t="s">
        <v>15</v>
      </c>
      <c r="D145" t="s">
        <v>12</v>
      </c>
      <c r="E145" s="1">
        <v>9.5380200000000012E-3</v>
      </c>
      <c r="F145" s="3" t="str">
        <f t="shared" si="2"/>
        <v>가능성있음</v>
      </c>
    </row>
    <row r="146" spans="1:6">
      <c r="A146" s="2">
        <v>144</v>
      </c>
      <c r="B146">
        <v>2020</v>
      </c>
      <c r="C146" t="s">
        <v>16</v>
      </c>
      <c r="D146" t="s">
        <v>7</v>
      </c>
      <c r="E146" s="1">
        <v>3.8672934099999998</v>
      </c>
      <c r="F146" s="3" t="str">
        <f t="shared" si="2"/>
        <v>주의</v>
      </c>
    </row>
    <row r="147" spans="1:6">
      <c r="A147" s="2">
        <v>145</v>
      </c>
      <c r="B147">
        <v>2020</v>
      </c>
      <c r="C147" t="s">
        <v>16</v>
      </c>
      <c r="D147" t="s">
        <v>8</v>
      </c>
      <c r="E147" s="1">
        <v>0.36600628000000002</v>
      </c>
      <c r="F147" s="3" t="str">
        <f t="shared" si="2"/>
        <v>가능성있음</v>
      </c>
    </row>
    <row r="148" spans="1:6">
      <c r="A148" s="2">
        <v>146</v>
      </c>
      <c r="B148">
        <v>2020</v>
      </c>
      <c r="C148" t="s">
        <v>16</v>
      </c>
      <c r="D148" t="s">
        <v>9</v>
      </c>
      <c r="E148" s="1">
        <v>6.4635899999999996E-2</v>
      </c>
      <c r="F148" s="3" t="str">
        <f t="shared" si="2"/>
        <v>가능성있음</v>
      </c>
    </row>
    <row r="149" spans="1:6">
      <c r="A149" s="2">
        <v>147</v>
      </c>
      <c r="B149">
        <v>2020</v>
      </c>
      <c r="C149" t="s">
        <v>16</v>
      </c>
      <c r="D149" t="s">
        <v>10</v>
      </c>
      <c r="E149" s="1">
        <v>2.5986270000000009E-2</v>
      </c>
      <c r="F149" s="3" t="str">
        <f t="shared" si="2"/>
        <v>가능성있음</v>
      </c>
    </row>
    <row r="150" spans="1:6">
      <c r="A150" s="2">
        <v>148</v>
      </c>
      <c r="B150">
        <v>2020</v>
      </c>
      <c r="C150" t="s">
        <v>16</v>
      </c>
      <c r="D150" t="s">
        <v>11</v>
      </c>
      <c r="E150" s="1">
        <v>2.7393310000000001E-2</v>
      </c>
      <c r="F150" s="3" t="str">
        <f t="shared" si="2"/>
        <v>가능성있음</v>
      </c>
    </row>
    <row r="151" spans="1:6">
      <c r="A151" s="2">
        <v>149</v>
      </c>
      <c r="B151">
        <v>2020</v>
      </c>
      <c r="C151" t="s">
        <v>16</v>
      </c>
      <c r="D151" t="s">
        <v>12</v>
      </c>
      <c r="E151" s="1">
        <v>4.5684830000000003E-2</v>
      </c>
      <c r="F151" s="3" t="str">
        <f t="shared" si="2"/>
        <v>가능성있음</v>
      </c>
    </row>
    <row r="152" spans="1:6">
      <c r="A152" s="2">
        <v>150</v>
      </c>
      <c r="B152">
        <v>2020</v>
      </c>
      <c r="C152" t="s">
        <v>17</v>
      </c>
      <c r="D152" t="s">
        <v>7</v>
      </c>
      <c r="E152" s="1">
        <v>0.18382177</v>
      </c>
      <c r="F152" s="3" t="str">
        <f t="shared" si="2"/>
        <v>가능성있음</v>
      </c>
    </row>
    <row r="153" spans="1:6">
      <c r="A153" s="2">
        <v>151</v>
      </c>
      <c r="B153">
        <v>2020</v>
      </c>
      <c r="C153" t="s">
        <v>17</v>
      </c>
      <c r="D153" t="s">
        <v>8</v>
      </c>
      <c r="E153" s="1">
        <v>1.7397159999999991E-2</v>
      </c>
      <c r="F153" s="3" t="str">
        <f t="shared" si="2"/>
        <v>가능성있음</v>
      </c>
    </row>
    <row r="154" spans="1:6">
      <c r="A154" s="2">
        <v>152</v>
      </c>
      <c r="B154">
        <v>2020</v>
      </c>
      <c r="C154" t="s">
        <v>17</v>
      </c>
      <c r="D154" t="s">
        <v>9</v>
      </c>
      <c r="E154" s="1">
        <v>3.0723E-3</v>
      </c>
      <c r="F154" s="3" t="str">
        <f t="shared" si="2"/>
        <v>가능성있음</v>
      </c>
    </row>
    <row r="155" spans="1:6">
      <c r="A155" s="2">
        <v>153</v>
      </c>
      <c r="B155">
        <v>2020</v>
      </c>
      <c r="C155" t="s">
        <v>17</v>
      </c>
      <c r="D155" t="s">
        <v>10</v>
      </c>
      <c r="E155" s="1">
        <v>1.2351899999999999E-3</v>
      </c>
      <c r="F155" s="3" t="str">
        <f t="shared" si="2"/>
        <v>가능성있음</v>
      </c>
    </row>
    <row r="156" spans="1:6">
      <c r="A156" s="2">
        <v>154</v>
      </c>
      <c r="B156">
        <v>2020</v>
      </c>
      <c r="C156" t="s">
        <v>17</v>
      </c>
      <c r="D156" t="s">
        <v>11</v>
      </c>
      <c r="E156" s="1">
        <v>1.30207E-3</v>
      </c>
      <c r="F156" s="3" t="str">
        <f t="shared" si="2"/>
        <v>가능성있음</v>
      </c>
    </row>
    <row r="157" spans="1:6">
      <c r="A157" s="2">
        <v>155</v>
      </c>
      <c r="B157">
        <v>2020</v>
      </c>
      <c r="C157" t="s">
        <v>17</v>
      </c>
      <c r="D157" t="s">
        <v>12</v>
      </c>
      <c r="E157" s="1">
        <v>2.1715100000000002E-3</v>
      </c>
      <c r="F157" s="3" t="str">
        <f t="shared" si="2"/>
        <v>가능성있음</v>
      </c>
    </row>
    <row r="158" spans="1:6">
      <c r="A158" s="2">
        <v>156</v>
      </c>
      <c r="B158">
        <v>2020</v>
      </c>
      <c r="C158" t="s">
        <v>18</v>
      </c>
      <c r="D158" t="s">
        <v>7</v>
      </c>
      <c r="E158" s="1">
        <v>1.10293062</v>
      </c>
      <c r="F158" s="3" t="str">
        <f t="shared" si="2"/>
        <v>주의</v>
      </c>
    </row>
    <row r="159" spans="1:6">
      <c r="A159" s="2">
        <v>157</v>
      </c>
      <c r="B159">
        <v>2020</v>
      </c>
      <c r="C159" t="s">
        <v>18</v>
      </c>
      <c r="D159" t="s">
        <v>8</v>
      </c>
      <c r="E159" s="1">
        <v>0.10438296</v>
      </c>
      <c r="F159" s="3" t="str">
        <f t="shared" si="2"/>
        <v>가능성있음</v>
      </c>
    </row>
    <row r="160" spans="1:6">
      <c r="A160" s="2">
        <v>158</v>
      </c>
      <c r="B160">
        <v>2020</v>
      </c>
      <c r="C160" t="s">
        <v>18</v>
      </c>
      <c r="D160" t="s">
        <v>9</v>
      </c>
      <c r="E160" s="1">
        <v>1.84338E-2</v>
      </c>
      <c r="F160" s="3" t="str">
        <f t="shared" si="2"/>
        <v>가능성있음</v>
      </c>
    </row>
    <row r="161" spans="1:6">
      <c r="A161" s="2">
        <v>159</v>
      </c>
      <c r="B161">
        <v>2020</v>
      </c>
      <c r="C161" t="s">
        <v>18</v>
      </c>
      <c r="D161" t="s">
        <v>10</v>
      </c>
      <c r="E161" s="1">
        <v>7.411140000000001E-3</v>
      </c>
      <c r="F161" s="3" t="str">
        <f t="shared" si="2"/>
        <v>가능성있음</v>
      </c>
    </row>
    <row r="162" spans="1:6">
      <c r="A162" s="2">
        <v>160</v>
      </c>
      <c r="B162">
        <v>2020</v>
      </c>
      <c r="C162" t="s">
        <v>18</v>
      </c>
      <c r="D162" t="s">
        <v>11</v>
      </c>
      <c r="E162" s="1">
        <v>7.8124200000000013E-3</v>
      </c>
      <c r="F162" s="3" t="str">
        <f t="shared" si="2"/>
        <v>가능성있음</v>
      </c>
    </row>
    <row r="163" spans="1:6">
      <c r="A163" s="2">
        <v>161</v>
      </c>
      <c r="B163">
        <v>2020</v>
      </c>
      <c r="C163" t="s">
        <v>18</v>
      </c>
      <c r="D163" t="s">
        <v>12</v>
      </c>
      <c r="E163" s="1">
        <v>1.302906E-2</v>
      </c>
      <c r="F163" s="3" t="str">
        <f t="shared" si="2"/>
        <v>가능성있음</v>
      </c>
    </row>
    <row r="164" spans="1:6">
      <c r="A164" s="2">
        <v>162</v>
      </c>
      <c r="B164">
        <v>2020</v>
      </c>
      <c r="C164" t="s">
        <v>19</v>
      </c>
      <c r="D164" t="s">
        <v>7</v>
      </c>
      <c r="E164" s="1">
        <v>0.42041534000000003</v>
      </c>
      <c r="F164" s="3" t="str">
        <f t="shared" si="2"/>
        <v>가능성있음</v>
      </c>
    </row>
    <row r="165" spans="1:6">
      <c r="A165" s="2">
        <v>163</v>
      </c>
      <c r="B165">
        <v>2020</v>
      </c>
      <c r="C165" t="s">
        <v>19</v>
      </c>
      <c r="D165" t="s">
        <v>8</v>
      </c>
      <c r="E165" s="1">
        <v>3.978872E-2</v>
      </c>
      <c r="F165" s="3" t="str">
        <f t="shared" si="2"/>
        <v>가능성있음</v>
      </c>
    </row>
    <row r="166" spans="1:6">
      <c r="A166" s="2">
        <v>164</v>
      </c>
      <c r="B166">
        <v>2020</v>
      </c>
      <c r="C166" t="s">
        <v>19</v>
      </c>
      <c r="D166" t="s">
        <v>9</v>
      </c>
      <c r="E166" s="1">
        <v>7.0266000000000009E-3</v>
      </c>
      <c r="F166" s="3" t="str">
        <f t="shared" si="2"/>
        <v>가능성있음</v>
      </c>
    </row>
    <row r="167" spans="1:6">
      <c r="A167" s="2">
        <v>165</v>
      </c>
      <c r="B167">
        <v>2020</v>
      </c>
      <c r="C167" t="s">
        <v>19</v>
      </c>
      <c r="D167" t="s">
        <v>10</v>
      </c>
      <c r="E167" s="1">
        <v>2.8249799999999999E-3</v>
      </c>
      <c r="F167" s="3" t="str">
        <f t="shared" si="2"/>
        <v>가능성있음</v>
      </c>
    </row>
    <row r="168" spans="1:6">
      <c r="A168" s="2">
        <v>166</v>
      </c>
      <c r="B168">
        <v>2020</v>
      </c>
      <c r="C168" t="s">
        <v>19</v>
      </c>
      <c r="D168" t="s">
        <v>11</v>
      </c>
      <c r="E168" s="1">
        <v>2.977940000000001E-3</v>
      </c>
      <c r="F168" s="3" t="str">
        <f t="shared" si="2"/>
        <v>가능성있음</v>
      </c>
    </row>
    <row r="169" spans="1:6">
      <c r="A169" s="2">
        <v>167</v>
      </c>
      <c r="B169">
        <v>2020</v>
      </c>
      <c r="C169" t="s">
        <v>19</v>
      </c>
      <c r="D169" t="s">
        <v>12</v>
      </c>
      <c r="E169" s="1">
        <v>4.9664200000000009E-3</v>
      </c>
      <c r="F169" s="3" t="str">
        <f t="shared" si="2"/>
        <v>가능성있음</v>
      </c>
    </row>
    <row r="170" spans="1:6">
      <c r="A170" s="2">
        <v>168</v>
      </c>
      <c r="B170">
        <v>2020</v>
      </c>
      <c r="C170" t="s">
        <v>20</v>
      </c>
      <c r="D170" t="s">
        <v>7</v>
      </c>
      <c r="E170" s="1">
        <v>1.4639776849999999</v>
      </c>
      <c r="F170" s="3" t="str">
        <f t="shared" si="2"/>
        <v>주의</v>
      </c>
    </row>
    <row r="171" spans="1:6">
      <c r="A171" s="2">
        <v>169</v>
      </c>
      <c r="B171">
        <v>2020</v>
      </c>
      <c r="C171" t="s">
        <v>20</v>
      </c>
      <c r="D171" t="s">
        <v>8</v>
      </c>
      <c r="E171" s="1">
        <v>0.13855297999999999</v>
      </c>
      <c r="F171" s="3" t="str">
        <f t="shared" si="2"/>
        <v>가능성있음</v>
      </c>
    </row>
    <row r="172" spans="1:6">
      <c r="A172" s="2">
        <v>170</v>
      </c>
      <c r="B172">
        <v>2020</v>
      </c>
      <c r="C172" t="s">
        <v>20</v>
      </c>
      <c r="D172" t="s">
        <v>9</v>
      </c>
      <c r="E172" s="1">
        <v>2.4468150000000001E-2</v>
      </c>
      <c r="F172" s="3" t="str">
        <f t="shared" si="2"/>
        <v>가능성있음</v>
      </c>
    </row>
    <row r="173" spans="1:6">
      <c r="A173" s="2">
        <v>171</v>
      </c>
      <c r="B173">
        <v>2020</v>
      </c>
      <c r="C173" t="s">
        <v>20</v>
      </c>
      <c r="D173" t="s">
        <v>10</v>
      </c>
      <c r="E173" s="1">
        <v>9.8371950000000017E-3</v>
      </c>
      <c r="F173" s="3" t="str">
        <f t="shared" si="2"/>
        <v>가능성있음</v>
      </c>
    </row>
    <row r="174" spans="1:6">
      <c r="A174" s="2">
        <v>172</v>
      </c>
      <c r="B174">
        <v>2020</v>
      </c>
      <c r="C174" t="s">
        <v>20</v>
      </c>
      <c r="D174" t="s">
        <v>11</v>
      </c>
      <c r="E174" s="1">
        <v>1.0369835000000001E-2</v>
      </c>
      <c r="F174" s="3" t="str">
        <f t="shared" si="2"/>
        <v>가능성있음</v>
      </c>
    </row>
    <row r="175" spans="1:6">
      <c r="A175" s="2">
        <v>173</v>
      </c>
      <c r="B175">
        <v>2020</v>
      </c>
      <c r="C175" t="s">
        <v>20</v>
      </c>
      <c r="D175" t="s">
        <v>12</v>
      </c>
      <c r="E175" s="1">
        <v>1.7294154999999999E-2</v>
      </c>
      <c r="F175" s="3" t="str">
        <f t="shared" si="2"/>
        <v>가능성있음</v>
      </c>
    </row>
    <row r="176" spans="1:6">
      <c r="A176" s="2">
        <v>174</v>
      </c>
      <c r="B176">
        <v>2020</v>
      </c>
      <c r="C176" t="s">
        <v>21</v>
      </c>
      <c r="D176" t="s">
        <v>7</v>
      </c>
      <c r="E176" s="1">
        <v>5.7384934850000002</v>
      </c>
      <c r="F176" s="3" t="str">
        <f t="shared" si="2"/>
        <v>주의</v>
      </c>
    </row>
    <row r="177" spans="1:6">
      <c r="A177" s="2">
        <v>175</v>
      </c>
      <c r="B177">
        <v>2020</v>
      </c>
      <c r="C177" t="s">
        <v>21</v>
      </c>
      <c r="D177" t="s">
        <v>8</v>
      </c>
      <c r="E177" s="1">
        <v>0.54309938000000002</v>
      </c>
      <c r="F177" s="3" t="str">
        <f t="shared" si="2"/>
        <v>가능성있음</v>
      </c>
    </row>
    <row r="178" spans="1:6">
      <c r="A178" s="2">
        <v>176</v>
      </c>
      <c r="B178">
        <v>2020</v>
      </c>
      <c r="C178" t="s">
        <v>21</v>
      </c>
      <c r="D178" t="s">
        <v>9</v>
      </c>
      <c r="E178" s="1">
        <v>9.5910149999999986E-2</v>
      </c>
      <c r="F178" s="3" t="str">
        <f t="shared" si="2"/>
        <v>가능성있음</v>
      </c>
    </row>
    <row r="179" spans="1:6">
      <c r="A179" s="2">
        <v>177</v>
      </c>
      <c r="B179">
        <v>2020</v>
      </c>
      <c r="C179" t="s">
        <v>21</v>
      </c>
      <c r="D179" t="s">
        <v>10</v>
      </c>
      <c r="E179" s="1">
        <v>3.8559795000000001E-2</v>
      </c>
      <c r="F179" s="3" t="str">
        <f t="shared" si="2"/>
        <v>가능성있음</v>
      </c>
    </row>
    <row r="180" spans="1:6">
      <c r="A180" s="2">
        <v>178</v>
      </c>
      <c r="B180">
        <v>2020</v>
      </c>
      <c r="C180" t="s">
        <v>21</v>
      </c>
      <c r="D180" t="s">
        <v>11</v>
      </c>
      <c r="E180" s="1">
        <v>4.0647635000000001E-2</v>
      </c>
      <c r="F180" s="3" t="str">
        <f t="shared" si="2"/>
        <v>가능성있음</v>
      </c>
    </row>
    <row r="181" spans="1:6">
      <c r="A181" s="2">
        <v>179</v>
      </c>
      <c r="B181">
        <v>2020</v>
      </c>
      <c r="C181" t="s">
        <v>21</v>
      </c>
      <c r="D181" t="s">
        <v>12</v>
      </c>
      <c r="E181" s="1">
        <v>6.7789555000000001E-2</v>
      </c>
      <c r="F181" s="3" t="str">
        <f t="shared" si="2"/>
        <v>가능성있음</v>
      </c>
    </row>
    <row r="182" spans="1:6">
      <c r="A182" s="2">
        <v>180</v>
      </c>
      <c r="B182">
        <v>2021</v>
      </c>
      <c r="C182" t="s">
        <v>6</v>
      </c>
      <c r="D182" t="s">
        <v>7</v>
      </c>
      <c r="E182" s="1">
        <v>1.4507336500000001</v>
      </c>
      <c r="F182" s="3" t="str">
        <f t="shared" si="2"/>
        <v>주의</v>
      </c>
    </row>
    <row r="183" spans="1:6">
      <c r="A183" s="2">
        <v>181</v>
      </c>
      <c r="B183">
        <v>2021</v>
      </c>
      <c r="C183" t="s">
        <v>6</v>
      </c>
      <c r="D183" t="s">
        <v>8</v>
      </c>
      <c r="E183" s="1">
        <v>0.13042972</v>
      </c>
      <c r="F183" s="3" t="str">
        <f t="shared" si="2"/>
        <v>가능성있음</v>
      </c>
    </row>
    <row r="184" spans="1:6">
      <c r="A184" s="2">
        <v>182</v>
      </c>
      <c r="B184">
        <v>2021</v>
      </c>
      <c r="C184" t="s">
        <v>6</v>
      </c>
      <c r="D184" t="s">
        <v>9</v>
      </c>
      <c r="E184" s="1">
        <v>2.11697E-2</v>
      </c>
      <c r="F184" s="3" t="str">
        <f t="shared" si="2"/>
        <v>가능성있음</v>
      </c>
    </row>
    <row r="185" spans="1:6">
      <c r="A185" s="2">
        <v>183</v>
      </c>
      <c r="B185">
        <v>2021</v>
      </c>
      <c r="C185" t="s">
        <v>6</v>
      </c>
      <c r="D185" t="s">
        <v>10</v>
      </c>
      <c r="E185" s="1">
        <v>1.5092929999999999E-2</v>
      </c>
      <c r="F185" s="3" t="str">
        <f t="shared" si="2"/>
        <v>가능성있음</v>
      </c>
    </row>
    <row r="186" spans="1:6">
      <c r="A186" s="2">
        <v>184</v>
      </c>
      <c r="B186">
        <v>2021</v>
      </c>
      <c r="C186" t="s">
        <v>6</v>
      </c>
      <c r="D186" t="s">
        <v>11</v>
      </c>
      <c r="E186" s="1">
        <v>1.3143490000000001E-2</v>
      </c>
      <c r="F186" s="3" t="str">
        <f t="shared" si="2"/>
        <v>가능성있음</v>
      </c>
    </row>
    <row r="187" spans="1:6">
      <c r="A187" s="2">
        <v>185</v>
      </c>
      <c r="B187">
        <v>2021</v>
      </c>
      <c r="C187" t="s">
        <v>6</v>
      </c>
      <c r="D187" t="s">
        <v>12</v>
      </c>
      <c r="E187" s="1">
        <v>1.7758179999999998E-2</v>
      </c>
      <c r="F187" s="3" t="str">
        <f t="shared" si="2"/>
        <v>가능성있음</v>
      </c>
    </row>
    <row r="188" spans="1:6">
      <c r="A188" s="2">
        <v>186</v>
      </c>
      <c r="B188">
        <v>2021</v>
      </c>
      <c r="C188" t="s">
        <v>13</v>
      </c>
      <c r="D188" t="s">
        <v>7</v>
      </c>
      <c r="E188" s="1">
        <v>17.456907574999999</v>
      </c>
      <c r="F188" s="3" t="str">
        <f t="shared" si="2"/>
        <v>조치필요</v>
      </c>
    </row>
    <row r="189" spans="1:6">
      <c r="A189" s="2">
        <v>187</v>
      </c>
      <c r="B189">
        <v>2021</v>
      </c>
      <c r="C189" t="s">
        <v>13</v>
      </c>
      <c r="D189" t="s">
        <v>8</v>
      </c>
      <c r="E189" s="1">
        <v>1.56948146</v>
      </c>
      <c r="F189" s="3" t="str">
        <f t="shared" si="2"/>
        <v>주의</v>
      </c>
    </row>
    <row r="190" spans="1:6">
      <c r="A190" s="2">
        <v>188</v>
      </c>
      <c r="B190">
        <v>2021</v>
      </c>
      <c r="C190" t="s">
        <v>13</v>
      </c>
      <c r="D190" t="s">
        <v>9</v>
      </c>
      <c r="E190" s="1">
        <v>0.25473835</v>
      </c>
      <c r="F190" s="3" t="str">
        <f t="shared" si="2"/>
        <v>가능성있음</v>
      </c>
    </row>
    <row r="191" spans="1:6">
      <c r="A191" s="2">
        <v>189</v>
      </c>
      <c r="B191">
        <v>2021</v>
      </c>
      <c r="C191" t="s">
        <v>13</v>
      </c>
      <c r="D191" t="s">
        <v>10</v>
      </c>
      <c r="E191" s="1">
        <v>0.18161561500000001</v>
      </c>
      <c r="F191" s="3" t="str">
        <f t="shared" si="2"/>
        <v>가능성있음</v>
      </c>
    </row>
    <row r="192" spans="1:6">
      <c r="A192" s="2">
        <v>190</v>
      </c>
      <c r="B192">
        <v>2021</v>
      </c>
      <c r="C192" t="s">
        <v>13</v>
      </c>
      <c r="D192" t="s">
        <v>11</v>
      </c>
      <c r="E192" s="1">
        <v>0.15815769499999999</v>
      </c>
      <c r="F192" s="3" t="str">
        <f t="shared" si="2"/>
        <v>가능성있음</v>
      </c>
    </row>
    <row r="193" spans="1:6">
      <c r="A193" s="2">
        <v>191</v>
      </c>
      <c r="B193">
        <v>2021</v>
      </c>
      <c r="C193" t="s">
        <v>13</v>
      </c>
      <c r="D193" t="s">
        <v>12</v>
      </c>
      <c r="E193" s="1">
        <v>0.21368698999999999</v>
      </c>
      <c r="F193" s="3" t="str">
        <f t="shared" si="2"/>
        <v>가능성있음</v>
      </c>
    </row>
    <row r="194" spans="1:6">
      <c r="A194" s="2">
        <v>192</v>
      </c>
      <c r="B194">
        <v>2021</v>
      </c>
      <c r="C194" t="s">
        <v>14</v>
      </c>
      <c r="D194" t="s">
        <v>7</v>
      </c>
      <c r="E194" s="1">
        <v>16.262409874999999</v>
      </c>
      <c r="F194" s="3" t="str">
        <f t="shared" ref="F194:F257" si="3">IF(E194&gt;=10, "조치필요", IF(E194&gt;=0.7, "주의", IF(E194&gt;=0, "가능성있음", "")))</f>
        <v>조치필요</v>
      </c>
    </row>
    <row r="195" spans="1:6">
      <c r="A195" s="2">
        <v>193</v>
      </c>
      <c r="B195">
        <v>2021</v>
      </c>
      <c r="C195" t="s">
        <v>14</v>
      </c>
      <c r="D195" t="s">
        <v>8</v>
      </c>
      <c r="E195" s="1">
        <v>1.4620888999999999</v>
      </c>
      <c r="F195" s="3" t="str">
        <f t="shared" si="3"/>
        <v>주의</v>
      </c>
    </row>
    <row r="196" spans="1:6">
      <c r="A196" s="2">
        <v>194</v>
      </c>
      <c r="B196">
        <v>2021</v>
      </c>
      <c r="C196" t="s">
        <v>14</v>
      </c>
      <c r="D196" t="s">
        <v>9</v>
      </c>
      <c r="E196" s="1">
        <v>0.23730775000000001</v>
      </c>
      <c r="F196" s="3" t="str">
        <f t="shared" si="3"/>
        <v>가능성있음</v>
      </c>
    </row>
    <row r="197" spans="1:6">
      <c r="A197" s="2">
        <v>195</v>
      </c>
      <c r="B197">
        <v>2021</v>
      </c>
      <c r="C197" t="s">
        <v>14</v>
      </c>
      <c r="D197" t="s">
        <v>10</v>
      </c>
      <c r="E197" s="1">
        <v>0.169188475</v>
      </c>
      <c r="F197" s="3" t="str">
        <f t="shared" si="3"/>
        <v>가능성있음</v>
      </c>
    </row>
    <row r="198" spans="1:6">
      <c r="A198" s="2">
        <v>196</v>
      </c>
      <c r="B198">
        <v>2021</v>
      </c>
      <c r="C198" t="s">
        <v>14</v>
      </c>
      <c r="D198" t="s">
        <v>11</v>
      </c>
      <c r="E198" s="1">
        <v>0.147335675</v>
      </c>
      <c r="F198" s="3" t="str">
        <f t="shared" si="3"/>
        <v>가능성있음</v>
      </c>
    </row>
    <row r="199" spans="1:6">
      <c r="A199" s="2">
        <v>197</v>
      </c>
      <c r="B199">
        <v>2021</v>
      </c>
      <c r="C199" t="s">
        <v>14</v>
      </c>
      <c r="D199" t="s">
        <v>12</v>
      </c>
      <c r="E199" s="1">
        <v>0.19906535</v>
      </c>
      <c r="F199" s="3" t="str">
        <f t="shared" si="3"/>
        <v>가능성있음</v>
      </c>
    </row>
    <row r="200" spans="1:6">
      <c r="A200" s="2">
        <v>198</v>
      </c>
      <c r="B200">
        <v>2021</v>
      </c>
      <c r="C200" t="s">
        <v>15</v>
      </c>
      <c r="D200" t="s">
        <v>7</v>
      </c>
      <c r="E200" s="1">
        <v>0.8463406750000001</v>
      </c>
      <c r="F200" s="3" t="str">
        <f t="shared" si="3"/>
        <v>주의</v>
      </c>
    </row>
    <row r="201" spans="1:6">
      <c r="A201" s="2">
        <v>199</v>
      </c>
      <c r="B201">
        <v>2021</v>
      </c>
      <c r="C201" t="s">
        <v>15</v>
      </c>
      <c r="D201" t="s">
        <v>8</v>
      </c>
      <c r="E201" s="1">
        <v>7.6091140000000002E-2</v>
      </c>
      <c r="F201" s="3" t="str">
        <f t="shared" si="3"/>
        <v>가능성있음</v>
      </c>
    </row>
    <row r="202" spans="1:6">
      <c r="A202" s="2">
        <v>200</v>
      </c>
      <c r="B202">
        <v>2021</v>
      </c>
      <c r="C202" t="s">
        <v>15</v>
      </c>
      <c r="D202" t="s">
        <v>9</v>
      </c>
      <c r="E202" s="1">
        <v>1.2350150000000001E-2</v>
      </c>
      <c r="F202" s="3" t="str">
        <f t="shared" si="3"/>
        <v>가능성있음</v>
      </c>
    </row>
    <row r="203" spans="1:6">
      <c r="A203" s="2">
        <v>201</v>
      </c>
      <c r="B203">
        <v>2021</v>
      </c>
      <c r="C203" t="s">
        <v>15</v>
      </c>
      <c r="D203" t="s">
        <v>10</v>
      </c>
      <c r="E203" s="1">
        <v>8.805035000000001E-3</v>
      </c>
      <c r="F203" s="3" t="str">
        <f t="shared" si="3"/>
        <v>가능성있음</v>
      </c>
    </row>
    <row r="204" spans="1:6">
      <c r="A204" s="2">
        <v>202</v>
      </c>
      <c r="B204">
        <v>2021</v>
      </c>
      <c r="C204" t="s">
        <v>15</v>
      </c>
      <c r="D204" t="s">
        <v>11</v>
      </c>
      <c r="E204" s="1">
        <v>7.6677550000000009E-3</v>
      </c>
      <c r="F204" s="3" t="str">
        <f t="shared" si="3"/>
        <v>가능성있음</v>
      </c>
    </row>
    <row r="205" spans="1:6">
      <c r="A205" s="2">
        <v>203</v>
      </c>
      <c r="B205">
        <v>2021</v>
      </c>
      <c r="C205" t="s">
        <v>15</v>
      </c>
      <c r="D205" t="s">
        <v>12</v>
      </c>
      <c r="E205" s="1">
        <v>1.035991E-2</v>
      </c>
      <c r="F205" s="3" t="str">
        <f t="shared" si="3"/>
        <v>가능성있음</v>
      </c>
    </row>
    <row r="206" spans="1:6">
      <c r="A206" s="2">
        <v>204</v>
      </c>
      <c r="B206">
        <v>2021</v>
      </c>
      <c r="C206" t="s">
        <v>16</v>
      </c>
      <c r="D206" t="s">
        <v>7</v>
      </c>
      <c r="E206" s="1">
        <v>4.4584102750000003</v>
      </c>
      <c r="F206" s="3" t="str">
        <f t="shared" si="3"/>
        <v>주의</v>
      </c>
    </row>
    <row r="207" spans="1:6">
      <c r="A207" s="2">
        <v>205</v>
      </c>
      <c r="B207">
        <v>2021</v>
      </c>
      <c r="C207" t="s">
        <v>16</v>
      </c>
      <c r="D207" t="s">
        <v>8</v>
      </c>
      <c r="E207" s="1">
        <v>0.40083802000000002</v>
      </c>
      <c r="F207" s="3" t="str">
        <f t="shared" si="3"/>
        <v>가능성있음</v>
      </c>
    </row>
    <row r="208" spans="1:6">
      <c r="A208" s="2">
        <v>206</v>
      </c>
      <c r="B208">
        <v>2021</v>
      </c>
      <c r="C208" t="s">
        <v>16</v>
      </c>
      <c r="D208" t="s">
        <v>9</v>
      </c>
      <c r="E208" s="1">
        <v>6.5058950000000004E-2</v>
      </c>
      <c r="F208" s="3" t="str">
        <f t="shared" si="3"/>
        <v>가능성있음</v>
      </c>
    </row>
    <row r="209" spans="1:6">
      <c r="A209" s="2">
        <v>207</v>
      </c>
      <c r="B209">
        <v>2021</v>
      </c>
      <c r="C209" t="s">
        <v>16</v>
      </c>
      <c r="D209" t="s">
        <v>10</v>
      </c>
      <c r="E209" s="1">
        <v>4.6383754999999999E-2</v>
      </c>
      <c r="F209" s="3" t="str">
        <f t="shared" si="3"/>
        <v>가능성있음</v>
      </c>
    </row>
    <row r="210" spans="1:6">
      <c r="A210" s="2">
        <v>208</v>
      </c>
      <c r="B210">
        <v>2021</v>
      </c>
      <c r="C210" t="s">
        <v>16</v>
      </c>
      <c r="D210" t="s">
        <v>11</v>
      </c>
      <c r="E210" s="1">
        <v>4.0392715000000003E-2</v>
      </c>
      <c r="F210" s="3" t="str">
        <f t="shared" si="3"/>
        <v>가능성있음</v>
      </c>
    </row>
    <row r="211" spans="1:6">
      <c r="A211" s="2">
        <v>209</v>
      </c>
      <c r="B211">
        <v>2021</v>
      </c>
      <c r="C211" t="s">
        <v>16</v>
      </c>
      <c r="D211" t="s">
        <v>12</v>
      </c>
      <c r="E211" s="1">
        <v>5.4574630000000013E-2</v>
      </c>
      <c r="F211" s="3" t="str">
        <f t="shared" si="3"/>
        <v>가능성있음</v>
      </c>
    </row>
    <row r="212" spans="1:6">
      <c r="A212" s="2">
        <v>210</v>
      </c>
      <c r="B212">
        <v>2021</v>
      </c>
      <c r="C212" t="s">
        <v>17</v>
      </c>
      <c r="D212" t="s">
        <v>7</v>
      </c>
      <c r="E212" s="1">
        <v>0.29862442500000003</v>
      </c>
      <c r="F212" s="3" t="str">
        <f t="shared" si="3"/>
        <v>가능성있음</v>
      </c>
    </row>
    <row r="213" spans="1:6">
      <c r="A213" s="2">
        <v>211</v>
      </c>
      <c r="B213">
        <v>2021</v>
      </c>
      <c r="C213" t="s">
        <v>17</v>
      </c>
      <c r="D213" t="s">
        <v>8</v>
      </c>
      <c r="E213" s="1">
        <v>2.684814E-2</v>
      </c>
      <c r="F213" s="3" t="str">
        <f t="shared" si="3"/>
        <v>가능성있음</v>
      </c>
    </row>
    <row r="214" spans="1:6">
      <c r="A214" s="2">
        <v>212</v>
      </c>
      <c r="B214">
        <v>2021</v>
      </c>
      <c r="C214" t="s">
        <v>17</v>
      </c>
      <c r="D214" t="s">
        <v>9</v>
      </c>
      <c r="E214" s="1">
        <v>4.3576500000000002E-3</v>
      </c>
      <c r="F214" s="3" t="str">
        <f t="shared" si="3"/>
        <v>가능성있음</v>
      </c>
    </row>
    <row r="215" spans="1:6">
      <c r="A215" s="2">
        <v>213</v>
      </c>
      <c r="B215">
        <v>2021</v>
      </c>
      <c r="C215" t="s">
        <v>17</v>
      </c>
      <c r="D215" t="s">
        <v>10</v>
      </c>
      <c r="E215" s="1">
        <v>3.1067849999999999E-3</v>
      </c>
      <c r="F215" s="3" t="str">
        <f t="shared" si="3"/>
        <v>가능성있음</v>
      </c>
    </row>
    <row r="216" spans="1:6">
      <c r="A216" s="2">
        <v>214</v>
      </c>
      <c r="B216">
        <v>2021</v>
      </c>
      <c r="C216" t="s">
        <v>17</v>
      </c>
      <c r="D216" t="s">
        <v>11</v>
      </c>
      <c r="E216" s="1">
        <v>2.705505E-3</v>
      </c>
      <c r="F216" s="3" t="str">
        <f t="shared" si="3"/>
        <v>가능성있음</v>
      </c>
    </row>
    <row r="217" spans="1:6">
      <c r="A217" s="2">
        <v>215</v>
      </c>
      <c r="B217">
        <v>2021</v>
      </c>
      <c r="C217" t="s">
        <v>17</v>
      </c>
      <c r="D217" t="s">
        <v>12</v>
      </c>
      <c r="E217" s="1">
        <v>3.65541E-3</v>
      </c>
      <c r="F217" s="3" t="str">
        <f t="shared" si="3"/>
        <v>가능성있음</v>
      </c>
    </row>
    <row r="218" spans="1:6">
      <c r="A218" s="2">
        <v>216</v>
      </c>
      <c r="B218">
        <v>2021</v>
      </c>
      <c r="C218" t="s">
        <v>18</v>
      </c>
      <c r="D218" t="s">
        <v>7</v>
      </c>
      <c r="E218" s="1">
        <v>1.2230741999999999</v>
      </c>
      <c r="F218" s="3" t="str">
        <f t="shared" si="3"/>
        <v>주의</v>
      </c>
    </row>
    <row r="219" spans="1:6">
      <c r="A219" s="2">
        <v>217</v>
      </c>
      <c r="B219">
        <v>2021</v>
      </c>
      <c r="C219" t="s">
        <v>18</v>
      </c>
      <c r="D219" t="s">
        <v>8</v>
      </c>
      <c r="E219" s="1">
        <v>0.10996176000000001</v>
      </c>
      <c r="F219" s="3" t="str">
        <f t="shared" si="3"/>
        <v>가능성있음</v>
      </c>
    </row>
    <row r="220" spans="1:6">
      <c r="A220" s="2">
        <v>218</v>
      </c>
      <c r="B220">
        <v>2021</v>
      </c>
      <c r="C220" t="s">
        <v>18</v>
      </c>
      <c r="D220" t="s">
        <v>9</v>
      </c>
      <c r="E220" s="1">
        <v>1.7847600000000002E-2</v>
      </c>
      <c r="F220" s="3" t="str">
        <f t="shared" si="3"/>
        <v>가능성있음</v>
      </c>
    </row>
    <row r="221" spans="1:6">
      <c r="A221" s="2">
        <v>219</v>
      </c>
      <c r="B221">
        <v>2021</v>
      </c>
      <c r="C221" t="s">
        <v>18</v>
      </c>
      <c r="D221" t="s">
        <v>10</v>
      </c>
      <c r="E221" s="1">
        <v>1.272444E-2</v>
      </c>
      <c r="F221" s="3" t="str">
        <f t="shared" si="3"/>
        <v>가능성있음</v>
      </c>
    </row>
    <row r="222" spans="1:6">
      <c r="A222" s="2">
        <v>220</v>
      </c>
      <c r="B222">
        <v>2021</v>
      </c>
      <c r="C222" t="s">
        <v>18</v>
      </c>
      <c r="D222" t="s">
        <v>11</v>
      </c>
      <c r="E222" s="1">
        <v>1.1080919999999999E-2</v>
      </c>
      <c r="F222" s="3" t="str">
        <f t="shared" si="3"/>
        <v>가능성있음</v>
      </c>
    </row>
    <row r="223" spans="1:6">
      <c r="A223" s="2">
        <v>221</v>
      </c>
      <c r="B223">
        <v>2021</v>
      </c>
      <c r="C223" t="s">
        <v>18</v>
      </c>
      <c r="D223" t="s">
        <v>12</v>
      </c>
      <c r="E223" s="1">
        <v>1.4971440000000001E-2</v>
      </c>
      <c r="F223" s="3" t="str">
        <f t="shared" si="3"/>
        <v>가능성있음</v>
      </c>
    </row>
    <row r="224" spans="1:6">
      <c r="A224" s="2">
        <v>222</v>
      </c>
      <c r="B224">
        <v>2021</v>
      </c>
      <c r="C224" t="s">
        <v>19</v>
      </c>
      <c r="D224" t="s">
        <v>7</v>
      </c>
      <c r="E224" s="1">
        <v>0.64011359999999995</v>
      </c>
      <c r="F224" s="3" t="str">
        <f t="shared" si="3"/>
        <v>가능성있음</v>
      </c>
    </row>
    <row r="225" spans="1:6">
      <c r="A225" s="2">
        <v>223</v>
      </c>
      <c r="B225">
        <v>2021</v>
      </c>
      <c r="C225" t="s">
        <v>19</v>
      </c>
      <c r="D225" t="s">
        <v>8</v>
      </c>
      <c r="E225" s="1">
        <v>5.7550080000000003E-2</v>
      </c>
      <c r="F225" s="3" t="str">
        <f t="shared" si="3"/>
        <v>가능성있음</v>
      </c>
    </row>
    <row r="226" spans="1:6">
      <c r="A226" s="2">
        <v>224</v>
      </c>
      <c r="B226">
        <v>2021</v>
      </c>
      <c r="C226" t="s">
        <v>19</v>
      </c>
      <c r="D226" t="s">
        <v>9</v>
      </c>
      <c r="E226" s="1">
        <v>9.3407999999999998E-3</v>
      </c>
      <c r="F226" s="3" t="str">
        <f t="shared" si="3"/>
        <v>가능성있음</v>
      </c>
    </row>
    <row r="227" spans="1:6">
      <c r="A227" s="2">
        <v>225</v>
      </c>
      <c r="B227">
        <v>2021</v>
      </c>
      <c r="C227" t="s">
        <v>19</v>
      </c>
      <c r="D227" t="s">
        <v>10</v>
      </c>
      <c r="E227" s="1">
        <v>6.6595200000000012E-3</v>
      </c>
      <c r="F227" s="3" t="str">
        <f t="shared" si="3"/>
        <v>가능성있음</v>
      </c>
    </row>
    <row r="228" spans="1:6">
      <c r="A228" s="2">
        <v>226</v>
      </c>
      <c r="B228">
        <v>2021</v>
      </c>
      <c r="C228" t="s">
        <v>19</v>
      </c>
      <c r="D228" t="s">
        <v>11</v>
      </c>
      <c r="E228" s="1">
        <v>5.7993600000000008E-3</v>
      </c>
      <c r="F228" s="3" t="str">
        <f t="shared" si="3"/>
        <v>가능성있음</v>
      </c>
    </row>
    <row r="229" spans="1:6">
      <c r="A229" s="2">
        <v>227</v>
      </c>
      <c r="B229">
        <v>2021</v>
      </c>
      <c r="C229" t="s">
        <v>19</v>
      </c>
      <c r="D229" t="s">
        <v>12</v>
      </c>
      <c r="E229" s="1">
        <v>7.8355200000000003E-3</v>
      </c>
      <c r="F229" s="3" t="str">
        <f t="shared" si="3"/>
        <v>가능성있음</v>
      </c>
    </row>
    <row r="230" spans="1:6">
      <c r="A230" s="2">
        <v>228</v>
      </c>
      <c r="B230">
        <v>2021</v>
      </c>
      <c r="C230" t="s">
        <v>20</v>
      </c>
      <c r="D230" t="s">
        <v>7</v>
      </c>
      <c r="E230" s="1">
        <v>1.827467175</v>
      </c>
      <c r="F230" s="3" t="str">
        <f t="shared" si="3"/>
        <v>주의</v>
      </c>
    </row>
    <row r="231" spans="1:6">
      <c r="A231" s="2">
        <v>229</v>
      </c>
      <c r="B231">
        <v>2021</v>
      </c>
      <c r="C231" t="s">
        <v>20</v>
      </c>
      <c r="D231" t="s">
        <v>8</v>
      </c>
      <c r="E231" s="1">
        <v>0.16430033999999999</v>
      </c>
      <c r="F231" s="3" t="str">
        <f t="shared" si="3"/>
        <v>가능성있음</v>
      </c>
    </row>
    <row r="232" spans="1:6">
      <c r="A232" s="2">
        <v>230</v>
      </c>
      <c r="B232">
        <v>2021</v>
      </c>
      <c r="C232" t="s">
        <v>20</v>
      </c>
      <c r="D232" t="s">
        <v>9</v>
      </c>
      <c r="E232" s="1">
        <v>2.6667150000000001E-2</v>
      </c>
      <c r="F232" s="3" t="str">
        <f t="shared" si="3"/>
        <v>가능성있음</v>
      </c>
    </row>
    <row r="233" spans="1:6">
      <c r="A233" s="2">
        <v>231</v>
      </c>
      <c r="B233">
        <v>2021</v>
      </c>
      <c r="C233" t="s">
        <v>20</v>
      </c>
      <c r="D233" t="s">
        <v>10</v>
      </c>
      <c r="E233" s="1">
        <v>1.9012335000000002E-2</v>
      </c>
      <c r="F233" s="3" t="str">
        <f t="shared" si="3"/>
        <v>가능성있음</v>
      </c>
    </row>
    <row r="234" spans="1:6">
      <c r="A234" s="2">
        <v>232</v>
      </c>
      <c r="B234">
        <v>2021</v>
      </c>
      <c r="C234" t="s">
        <v>20</v>
      </c>
      <c r="D234" t="s">
        <v>11</v>
      </c>
      <c r="E234" s="1">
        <v>1.6556655E-2</v>
      </c>
      <c r="F234" s="3" t="str">
        <f t="shared" si="3"/>
        <v>가능성있음</v>
      </c>
    </row>
    <row r="235" spans="1:6">
      <c r="A235" s="2">
        <v>233</v>
      </c>
      <c r="B235">
        <v>2021</v>
      </c>
      <c r="C235" t="s">
        <v>20</v>
      </c>
      <c r="D235" t="s">
        <v>12</v>
      </c>
      <c r="E235" s="1">
        <v>2.2369710000000001E-2</v>
      </c>
      <c r="F235" s="3" t="str">
        <f t="shared" si="3"/>
        <v>가능성있음</v>
      </c>
    </row>
    <row r="236" spans="1:6">
      <c r="A236" s="2">
        <v>234</v>
      </c>
      <c r="B236">
        <v>2021</v>
      </c>
      <c r="C236" t="s">
        <v>21</v>
      </c>
      <c r="D236" t="s">
        <v>7</v>
      </c>
      <c r="E236" s="1">
        <v>15.430357450000001</v>
      </c>
      <c r="F236" s="3" t="str">
        <f t="shared" si="3"/>
        <v>조치필요</v>
      </c>
    </row>
    <row r="237" spans="1:6">
      <c r="A237" s="2">
        <v>235</v>
      </c>
      <c r="B237">
        <v>2021</v>
      </c>
      <c r="C237" t="s">
        <v>21</v>
      </c>
      <c r="D237" t="s">
        <v>8</v>
      </c>
      <c r="E237" s="1">
        <v>1.3872823599999999</v>
      </c>
      <c r="F237" s="3" t="str">
        <f t="shared" si="3"/>
        <v>주의</v>
      </c>
    </row>
    <row r="238" spans="1:6">
      <c r="A238" s="2">
        <v>236</v>
      </c>
      <c r="B238">
        <v>2021</v>
      </c>
      <c r="C238" t="s">
        <v>21</v>
      </c>
      <c r="D238" t="s">
        <v>9</v>
      </c>
      <c r="E238" s="1">
        <v>0.22516610000000001</v>
      </c>
      <c r="F238" s="3" t="str">
        <f t="shared" si="3"/>
        <v>가능성있음</v>
      </c>
    </row>
    <row r="239" spans="1:6">
      <c r="A239" s="2">
        <v>237</v>
      </c>
      <c r="B239">
        <v>2021</v>
      </c>
      <c r="C239" t="s">
        <v>21</v>
      </c>
      <c r="D239" t="s">
        <v>10</v>
      </c>
      <c r="E239" s="1">
        <v>0.16053208999999999</v>
      </c>
      <c r="F239" s="3" t="str">
        <f t="shared" si="3"/>
        <v>가능성있음</v>
      </c>
    </row>
    <row r="240" spans="1:6">
      <c r="A240" s="2">
        <v>238</v>
      </c>
      <c r="B240">
        <v>2021</v>
      </c>
      <c r="C240" t="s">
        <v>21</v>
      </c>
      <c r="D240" t="s">
        <v>11</v>
      </c>
      <c r="E240" s="1">
        <v>0.13979737</v>
      </c>
      <c r="F240" s="3" t="str">
        <f t="shared" si="3"/>
        <v>가능성있음</v>
      </c>
    </row>
    <row r="241" spans="1:6">
      <c r="A241" s="2">
        <v>239</v>
      </c>
      <c r="B241">
        <v>2021</v>
      </c>
      <c r="C241" t="s">
        <v>21</v>
      </c>
      <c r="D241" t="s">
        <v>12</v>
      </c>
      <c r="E241" s="1">
        <v>0.18888034000000001</v>
      </c>
      <c r="F241" s="3" t="str">
        <f t="shared" si="3"/>
        <v>가능성있음</v>
      </c>
    </row>
    <row r="242" spans="1:6">
      <c r="A242" s="2">
        <v>240</v>
      </c>
      <c r="B242">
        <v>2022</v>
      </c>
      <c r="C242" t="s">
        <v>6</v>
      </c>
      <c r="D242" t="s">
        <v>7</v>
      </c>
      <c r="E242" s="1">
        <v>1.1824922550000001</v>
      </c>
      <c r="F242" s="3" t="str">
        <f t="shared" si="3"/>
        <v>주의</v>
      </c>
    </row>
    <row r="243" spans="1:6">
      <c r="A243" s="2">
        <v>241</v>
      </c>
      <c r="B243">
        <v>2022</v>
      </c>
      <c r="C243" t="s">
        <v>6</v>
      </c>
      <c r="D243" t="s">
        <v>8</v>
      </c>
      <c r="E243" s="1">
        <v>0.13342885500000001</v>
      </c>
      <c r="F243" s="3" t="str">
        <f t="shared" si="3"/>
        <v>가능성있음</v>
      </c>
    </row>
    <row r="244" spans="1:6">
      <c r="A244" s="2">
        <v>242</v>
      </c>
      <c r="B244">
        <v>2022</v>
      </c>
      <c r="C244" t="s">
        <v>6</v>
      </c>
      <c r="D244" t="s">
        <v>9</v>
      </c>
      <c r="E244" s="1">
        <v>1.0483065E-2</v>
      </c>
      <c r="F244" s="3" t="str">
        <f t="shared" si="3"/>
        <v>가능성있음</v>
      </c>
    </row>
    <row r="245" spans="1:6">
      <c r="A245" s="2">
        <v>243</v>
      </c>
      <c r="B245">
        <v>2022</v>
      </c>
      <c r="C245" t="s">
        <v>6</v>
      </c>
      <c r="D245" t="s">
        <v>10</v>
      </c>
      <c r="E245" s="1">
        <v>1.7333009999999999E-2</v>
      </c>
      <c r="F245" s="3" t="str">
        <f t="shared" si="3"/>
        <v>가능성있음</v>
      </c>
    </row>
    <row r="246" spans="1:6">
      <c r="A246" s="2">
        <v>244</v>
      </c>
      <c r="B246">
        <v>2022</v>
      </c>
      <c r="C246" t="s">
        <v>6</v>
      </c>
      <c r="D246" t="s">
        <v>11</v>
      </c>
      <c r="E246" s="1">
        <v>1.0281225E-2</v>
      </c>
      <c r="F246" s="3" t="str">
        <f t="shared" si="3"/>
        <v>가능성있음</v>
      </c>
    </row>
    <row r="247" spans="1:6">
      <c r="A247" s="2">
        <v>245</v>
      </c>
      <c r="B247">
        <v>2022</v>
      </c>
      <c r="C247" t="s">
        <v>6</v>
      </c>
      <c r="D247" t="s">
        <v>12</v>
      </c>
      <c r="E247" s="1">
        <v>1.7938530000000001E-2</v>
      </c>
      <c r="F247" s="3" t="str">
        <f t="shared" si="3"/>
        <v>가능성있음</v>
      </c>
    </row>
    <row r="248" spans="1:6">
      <c r="A248" s="2">
        <v>246</v>
      </c>
      <c r="B248">
        <v>2022</v>
      </c>
      <c r="C248" t="s">
        <v>13</v>
      </c>
      <c r="D248" t="s">
        <v>7</v>
      </c>
      <c r="E248" s="1">
        <v>18.29839977</v>
      </c>
      <c r="F248" s="3" t="str">
        <f t="shared" si="3"/>
        <v>조치필요</v>
      </c>
    </row>
    <row r="249" spans="1:6">
      <c r="A249" s="2">
        <v>247</v>
      </c>
      <c r="B249">
        <v>2022</v>
      </c>
      <c r="C249" t="s">
        <v>13</v>
      </c>
      <c r="D249" t="s">
        <v>8</v>
      </c>
      <c r="E249" s="1">
        <v>2.0647361700000002</v>
      </c>
      <c r="F249" s="3" t="str">
        <f t="shared" si="3"/>
        <v>주의</v>
      </c>
    </row>
    <row r="250" spans="1:6">
      <c r="A250" s="2">
        <v>248</v>
      </c>
      <c r="B250">
        <v>2022</v>
      </c>
      <c r="C250" t="s">
        <v>13</v>
      </c>
      <c r="D250" t="s">
        <v>9</v>
      </c>
      <c r="E250" s="1">
        <v>0.16221951000000001</v>
      </c>
      <c r="F250" s="3" t="str">
        <f t="shared" si="3"/>
        <v>가능성있음</v>
      </c>
    </row>
    <row r="251" spans="1:6">
      <c r="A251" s="2">
        <v>249</v>
      </c>
      <c r="B251">
        <v>2022</v>
      </c>
      <c r="C251" t="s">
        <v>13</v>
      </c>
      <c r="D251" t="s">
        <v>10</v>
      </c>
      <c r="E251" s="1">
        <v>0.26821854000000001</v>
      </c>
      <c r="F251" s="3" t="str">
        <f t="shared" si="3"/>
        <v>가능성있음</v>
      </c>
    </row>
    <row r="252" spans="1:6">
      <c r="A252" s="2">
        <v>250</v>
      </c>
      <c r="B252">
        <v>2022</v>
      </c>
      <c r="C252" t="s">
        <v>13</v>
      </c>
      <c r="D252" t="s">
        <v>11</v>
      </c>
      <c r="E252" s="1">
        <v>0.15909614999999999</v>
      </c>
      <c r="F252" s="3" t="str">
        <f t="shared" si="3"/>
        <v>가능성있음</v>
      </c>
    </row>
    <row r="253" spans="1:6">
      <c r="A253" s="2">
        <v>251</v>
      </c>
      <c r="B253">
        <v>2022</v>
      </c>
      <c r="C253" t="s">
        <v>13</v>
      </c>
      <c r="D253" t="s">
        <v>12</v>
      </c>
      <c r="E253" s="1">
        <v>0.27758862000000001</v>
      </c>
      <c r="F253" s="3" t="str">
        <f t="shared" si="3"/>
        <v>가능성있음</v>
      </c>
    </row>
    <row r="254" spans="1:6">
      <c r="A254" s="2">
        <v>252</v>
      </c>
      <c r="B254">
        <v>2022</v>
      </c>
      <c r="C254" t="s">
        <v>14</v>
      </c>
      <c r="D254" t="s">
        <v>7</v>
      </c>
      <c r="E254" s="1">
        <v>14.638438604999999</v>
      </c>
      <c r="F254" s="3" t="str">
        <f t="shared" si="3"/>
        <v>조치필요</v>
      </c>
    </row>
    <row r="255" spans="1:6">
      <c r="A255" s="2">
        <v>253</v>
      </c>
      <c r="B255">
        <v>2022</v>
      </c>
      <c r="C255" t="s">
        <v>14</v>
      </c>
      <c r="D255" t="s">
        <v>8</v>
      </c>
      <c r="E255" s="1">
        <v>1.651757205</v>
      </c>
      <c r="F255" s="3" t="str">
        <f t="shared" si="3"/>
        <v>주의</v>
      </c>
    </row>
    <row r="256" spans="1:6">
      <c r="A256" s="2">
        <v>254</v>
      </c>
      <c r="B256">
        <v>2022</v>
      </c>
      <c r="C256" t="s">
        <v>14</v>
      </c>
      <c r="D256" t="s">
        <v>9</v>
      </c>
      <c r="E256" s="1">
        <v>0.12977311499999999</v>
      </c>
      <c r="F256" s="3" t="str">
        <f t="shared" si="3"/>
        <v>가능성있음</v>
      </c>
    </row>
    <row r="257" spans="1:6">
      <c r="A257" s="2">
        <v>255</v>
      </c>
      <c r="B257">
        <v>2022</v>
      </c>
      <c r="C257" t="s">
        <v>14</v>
      </c>
      <c r="D257" t="s">
        <v>10</v>
      </c>
      <c r="E257" s="1">
        <v>0.21457071</v>
      </c>
      <c r="F257" s="3" t="str">
        <f t="shared" si="3"/>
        <v>가능성있음</v>
      </c>
    </row>
    <row r="258" spans="1:6">
      <c r="A258" s="2">
        <v>256</v>
      </c>
      <c r="B258">
        <v>2022</v>
      </c>
      <c r="C258" t="s">
        <v>14</v>
      </c>
      <c r="D258" t="s">
        <v>11</v>
      </c>
      <c r="E258" s="1">
        <v>0.127274475</v>
      </c>
      <c r="F258" s="3" t="str">
        <f t="shared" ref="F258:F321" si="4">IF(E258&gt;=10, "조치필요", IF(E258&gt;=0.7, "주의", IF(E258&gt;=0, "가능성있음", "")))</f>
        <v>가능성있음</v>
      </c>
    </row>
    <row r="259" spans="1:6">
      <c r="A259" s="2">
        <v>257</v>
      </c>
      <c r="B259">
        <v>2022</v>
      </c>
      <c r="C259" t="s">
        <v>14</v>
      </c>
      <c r="D259" t="s">
        <v>12</v>
      </c>
      <c r="E259" s="1">
        <v>0.22206662999999999</v>
      </c>
      <c r="F259" s="3" t="str">
        <f t="shared" si="4"/>
        <v>가능성있음</v>
      </c>
    </row>
    <row r="260" spans="1:6">
      <c r="A260" s="2">
        <v>258</v>
      </c>
      <c r="B260">
        <v>2022</v>
      </c>
      <c r="C260" t="s">
        <v>15</v>
      </c>
      <c r="D260" t="s">
        <v>7</v>
      </c>
      <c r="E260" s="1">
        <v>0.74192835499999998</v>
      </c>
      <c r="F260" s="3" t="str">
        <f t="shared" si="4"/>
        <v>주의</v>
      </c>
    </row>
    <row r="261" spans="1:6">
      <c r="A261" s="2">
        <v>259</v>
      </c>
      <c r="B261">
        <v>2022</v>
      </c>
      <c r="C261" t="s">
        <v>15</v>
      </c>
      <c r="D261" t="s">
        <v>8</v>
      </c>
      <c r="E261" s="1">
        <v>8.3716954999999996E-2</v>
      </c>
      <c r="F261" s="3" t="str">
        <f t="shared" si="4"/>
        <v>가능성있음</v>
      </c>
    </row>
    <row r="262" spans="1:6">
      <c r="A262" s="2">
        <v>260</v>
      </c>
      <c r="B262">
        <v>2022</v>
      </c>
      <c r="C262" t="s">
        <v>15</v>
      </c>
      <c r="D262" t="s">
        <v>9</v>
      </c>
      <c r="E262" s="1">
        <v>6.5773649999999999E-3</v>
      </c>
      <c r="F262" s="3" t="str">
        <f t="shared" si="4"/>
        <v>가능성있음</v>
      </c>
    </row>
    <row r="263" spans="1:6">
      <c r="A263" s="2">
        <v>261</v>
      </c>
      <c r="B263">
        <v>2022</v>
      </c>
      <c r="C263" t="s">
        <v>15</v>
      </c>
      <c r="D263" t="s">
        <v>10</v>
      </c>
      <c r="E263" s="1">
        <v>1.087521E-2</v>
      </c>
      <c r="F263" s="3" t="str">
        <f t="shared" si="4"/>
        <v>가능성있음</v>
      </c>
    </row>
    <row r="264" spans="1:6">
      <c r="A264" s="2">
        <v>262</v>
      </c>
      <c r="B264">
        <v>2022</v>
      </c>
      <c r="C264" t="s">
        <v>15</v>
      </c>
      <c r="D264" t="s">
        <v>11</v>
      </c>
      <c r="E264" s="1">
        <v>6.450725E-3</v>
      </c>
      <c r="F264" s="3" t="str">
        <f t="shared" si="4"/>
        <v>가능성있음</v>
      </c>
    </row>
    <row r="265" spans="1:6">
      <c r="A265" s="2">
        <v>263</v>
      </c>
      <c r="B265">
        <v>2022</v>
      </c>
      <c r="C265" t="s">
        <v>15</v>
      </c>
      <c r="D265" t="s">
        <v>12</v>
      </c>
      <c r="E265" s="1">
        <v>1.125513E-2</v>
      </c>
      <c r="F265" s="3" t="str">
        <f t="shared" si="4"/>
        <v>가능성있음</v>
      </c>
    </row>
    <row r="266" spans="1:6">
      <c r="A266" s="2">
        <v>264</v>
      </c>
      <c r="B266">
        <v>2022</v>
      </c>
      <c r="C266" t="s">
        <v>16</v>
      </c>
      <c r="D266" t="s">
        <v>7</v>
      </c>
      <c r="E266" s="1">
        <v>4.3381483600000008</v>
      </c>
      <c r="F266" s="3" t="str">
        <f t="shared" si="4"/>
        <v>주의</v>
      </c>
    </row>
    <row r="267" spans="1:6">
      <c r="A267" s="2">
        <v>265</v>
      </c>
      <c r="B267">
        <v>2022</v>
      </c>
      <c r="C267" t="s">
        <v>16</v>
      </c>
      <c r="D267" t="s">
        <v>8</v>
      </c>
      <c r="E267" s="1">
        <v>0.48950356</v>
      </c>
      <c r="F267" s="3" t="str">
        <f t="shared" si="4"/>
        <v>가능성있음</v>
      </c>
    </row>
    <row r="268" spans="1:6">
      <c r="A268" s="2">
        <v>266</v>
      </c>
      <c r="B268">
        <v>2022</v>
      </c>
      <c r="C268" t="s">
        <v>16</v>
      </c>
      <c r="D268" t="s">
        <v>9</v>
      </c>
      <c r="E268" s="1">
        <v>3.8458680000000002E-2</v>
      </c>
      <c r="F268" s="3" t="str">
        <f t="shared" si="4"/>
        <v>가능성있음</v>
      </c>
    </row>
    <row r="269" spans="1:6">
      <c r="A269" s="2">
        <v>267</v>
      </c>
      <c r="B269">
        <v>2022</v>
      </c>
      <c r="C269" t="s">
        <v>16</v>
      </c>
      <c r="D269" t="s">
        <v>10</v>
      </c>
      <c r="E269" s="1">
        <v>6.3588720000000015E-2</v>
      </c>
      <c r="F269" s="3" t="str">
        <f t="shared" si="4"/>
        <v>가능성있음</v>
      </c>
    </row>
    <row r="270" spans="1:6">
      <c r="A270" s="2">
        <v>268</v>
      </c>
      <c r="B270">
        <v>2022</v>
      </c>
      <c r="C270" t="s">
        <v>16</v>
      </c>
      <c r="D270" t="s">
        <v>11</v>
      </c>
      <c r="E270" s="1">
        <v>3.77182E-2</v>
      </c>
      <c r="F270" s="3" t="str">
        <f t="shared" si="4"/>
        <v>가능성있음</v>
      </c>
    </row>
    <row r="271" spans="1:6">
      <c r="A271" s="2">
        <v>269</v>
      </c>
      <c r="B271">
        <v>2022</v>
      </c>
      <c r="C271" t="s">
        <v>16</v>
      </c>
      <c r="D271" t="s">
        <v>12</v>
      </c>
      <c r="E271" s="1">
        <v>6.5810160000000006E-2</v>
      </c>
      <c r="F271" s="3" t="str">
        <f t="shared" si="4"/>
        <v>가능성있음</v>
      </c>
    </row>
    <row r="272" spans="1:6">
      <c r="A272" s="2">
        <v>270</v>
      </c>
      <c r="B272">
        <v>2022</v>
      </c>
      <c r="C272" t="s">
        <v>17</v>
      </c>
      <c r="D272" t="s">
        <v>7</v>
      </c>
      <c r="E272" s="1">
        <v>0.26574439500000002</v>
      </c>
      <c r="F272" s="3" t="str">
        <f t="shared" si="4"/>
        <v>가능성있음</v>
      </c>
    </row>
    <row r="273" spans="1:6">
      <c r="A273" s="2">
        <v>271</v>
      </c>
      <c r="B273">
        <v>2022</v>
      </c>
      <c r="C273" t="s">
        <v>17</v>
      </c>
      <c r="D273" t="s">
        <v>8</v>
      </c>
      <c r="E273" s="1">
        <v>2.9985794999999999E-2</v>
      </c>
      <c r="F273" s="3" t="str">
        <f t="shared" si="4"/>
        <v>가능성있음</v>
      </c>
    </row>
    <row r="274" spans="1:6">
      <c r="A274" s="2">
        <v>272</v>
      </c>
      <c r="B274">
        <v>2022</v>
      </c>
      <c r="C274" t="s">
        <v>17</v>
      </c>
      <c r="D274" t="s">
        <v>9</v>
      </c>
      <c r="E274" s="1">
        <v>2.3558849999999998E-3</v>
      </c>
      <c r="F274" s="3" t="str">
        <f t="shared" si="4"/>
        <v>가능성있음</v>
      </c>
    </row>
    <row r="275" spans="1:6">
      <c r="A275" s="2">
        <v>273</v>
      </c>
      <c r="B275">
        <v>2022</v>
      </c>
      <c r="C275" t="s">
        <v>17</v>
      </c>
      <c r="D275" t="s">
        <v>10</v>
      </c>
      <c r="E275" s="1">
        <v>3.89529E-3</v>
      </c>
      <c r="F275" s="3" t="str">
        <f t="shared" si="4"/>
        <v>가능성있음</v>
      </c>
    </row>
    <row r="276" spans="1:6">
      <c r="A276" s="2">
        <v>274</v>
      </c>
      <c r="B276">
        <v>2022</v>
      </c>
      <c r="C276" t="s">
        <v>17</v>
      </c>
      <c r="D276" t="s">
        <v>11</v>
      </c>
      <c r="E276" s="1">
        <v>2.3105249999999999E-3</v>
      </c>
      <c r="F276" s="3" t="str">
        <f t="shared" si="4"/>
        <v>가능성있음</v>
      </c>
    </row>
    <row r="277" spans="1:6">
      <c r="A277" s="2">
        <v>275</v>
      </c>
      <c r="B277">
        <v>2022</v>
      </c>
      <c r="C277" t="s">
        <v>17</v>
      </c>
      <c r="D277" t="s">
        <v>12</v>
      </c>
      <c r="E277" s="1">
        <v>4.0313700000000003E-3</v>
      </c>
      <c r="F277" s="3" t="str">
        <f t="shared" si="4"/>
        <v>가능성있음</v>
      </c>
    </row>
    <row r="278" spans="1:6">
      <c r="A278" s="2">
        <v>276</v>
      </c>
      <c r="B278">
        <v>2022</v>
      </c>
      <c r="C278" t="s">
        <v>18</v>
      </c>
      <c r="D278" t="s">
        <v>7</v>
      </c>
      <c r="E278" s="1">
        <v>1.2523263200000001</v>
      </c>
      <c r="F278" s="3" t="str">
        <f t="shared" si="4"/>
        <v>주의</v>
      </c>
    </row>
    <row r="279" spans="1:6">
      <c r="A279" s="2">
        <v>277</v>
      </c>
      <c r="B279">
        <v>2022</v>
      </c>
      <c r="C279" t="s">
        <v>18</v>
      </c>
      <c r="D279" t="s">
        <v>8</v>
      </c>
      <c r="E279" s="1">
        <v>0.14130872</v>
      </c>
      <c r="F279" s="3" t="str">
        <f t="shared" si="4"/>
        <v>가능성있음</v>
      </c>
    </row>
    <row r="280" spans="1:6">
      <c r="A280" s="2">
        <v>278</v>
      </c>
      <c r="B280">
        <v>2022</v>
      </c>
      <c r="C280" t="s">
        <v>18</v>
      </c>
      <c r="D280" t="s">
        <v>9</v>
      </c>
      <c r="E280" s="1">
        <v>1.110216E-2</v>
      </c>
      <c r="F280" s="3" t="str">
        <f t="shared" si="4"/>
        <v>가능성있음</v>
      </c>
    </row>
    <row r="281" spans="1:6">
      <c r="A281" s="2">
        <v>279</v>
      </c>
      <c r="B281">
        <v>2022</v>
      </c>
      <c r="C281" t="s">
        <v>18</v>
      </c>
      <c r="D281" t="s">
        <v>10</v>
      </c>
      <c r="E281" s="1">
        <v>1.835664E-2</v>
      </c>
      <c r="F281" s="3" t="str">
        <f t="shared" si="4"/>
        <v>가능성있음</v>
      </c>
    </row>
    <row r="282" spans="1:6">
      <c r="A282" s="2">
        <v>280</v>
      </c>
      <c r="B282">
        <v>2022</v>
      </c>
      <c r="C282" t="s">
        <v>18</v>
      </c>
      <c r="D282" t="s">
        <v>11</v>
      </c>
      <c r="E282" s="1">
        <v>1.0888399999999999E-2</v>
      </c>
      <c r="F282" s="3" t="str">
        <f t="shared" si="4"/>
        <v>가능성있음</v>
      </c>
    </row>
    <row r="283" spans="1:6">
      <c r="A283" s="2">
        <v>281</v>
      </c>
      <c r="B283">
        <v>2022</v>
      </c>
      <c r="C283" t="s">
        <v>18</v>
      </c>
      <c r="D283" t="s">
        <v>12</v>
      </c>
      <c r="E283" s="1">
        <v>1.8997920000000001E-2</v>
      </c>
      <c r="F283" s="3" t="str">
        <f t="shared" si="4"/>
        <v>가능성있음</v>
      </c>
    </row>
    <row r="284" spans="1:6">
      <c r="A284" s="2">
        <v>282</v>
      </c>
      <c r="B284">
        <v>2022</v>
      </c>
      <c r="C284" t="s">
        <v>19</v>
      </c>
      <c r="D284" t="s">
        <v>7</v>
      </c>
      <c r="E284" s="1">
        <v>0.34307742000000002</v>
      </c>
      <c r="F284" s="3" t="str">
        <f t="shared" si="4"/>
        <v>가능성있음</v>
      </c>
    </row>
    <row r="285" spans="1:6">
      <c r="A285" s="2">
        <v>283</v>
      </c>
      <c r="B285">
        <v>2022</v>
      </c>
      <c r="C285" t="s">
        <v>19</v>
      </c>
      <c r="D285" t="s">
        <v>8</v>
      </c>
      <c r="E285" s="1">
        <v>3.8711820000000001E-2</v>
      </c>
      <c r="F285" s="3" t="str">
        <f t="shared" si="4"/>
        <v>가능성있음</v>
      </c>
    </row>
    <row r="286" spans="1:6">
      <c r="A286" s="2">
        <v>284</v>
      </c>
      <c r="B286">
        <v>2022</v>
      </c>
      <c r="C286" t="s">
        <v>19</v>
      </c>
      <c r="D286" t="s">
        <v>9</v>
      </c>
      <c r="E286" s="1">
        <v>3.0414600000000002E-3</v>
      </c>
      <c r="F286" s="3" t="str">
        <f t="shared" si="4"/>
        <v>가능성있음</v>
      </c>
    </row>
    <row r="287" spans="1:6">
      <c r="A287" s="2">
        <v>285</v>
      </c>
      <c r="B287">
        <v>2022</v>
      </c>
      <c r="C287" t="s">
        <v>19</v>
      </c>
      <c r="D287" t="s">
        <v>10</v>
      </c>
      <c r="E287" s="1">
        <v>5.0288400000000006E-3</v>
      </c>
      <c r="F287" s="3" t="str">
        <f t="shared" si="4"/>
        <v>가능성있음</v>
      </c>
    </row>
    <row r="288" spans="1:6">
      <c r="A288" s="2">
        <v>286</v>
      </c>
      <c r="B288">
        <v>2022</v>
      </c>
      <c r="C288" t="s">
        <v>19</v>
      </c>
      <c r="D288" t="s">
        <v>11</v>
      </c>
      <c r="E288" s="1">
        <v>2.9829000000000001E-3</v>
      </c>
      <c r="F288" s="3" t="str">
        <f t="shared" si="4"/>
        <v>가능성있음</v>
      </c>
    </row>
    <row r="289" spans="1:6">
      <c r="A289" s="2">
        <v>287</v>
      </c>
      <c r="B289">
        <v>2022</v>
      </c>
      <c r="C289" t="s">
        <v>19</v>
      </c>
      <c r="D289" t="s">
        <v>12</v>
      </c>
      <c r="E289" s="1">
        <v>5.2045199999999998E-3</v>
      </c>
      <c r="F289" s="3" t="str">
        <f t="shared" si="4"/>
        <v>가능성있음</v>
      </c>
    </row>
    <row r="290" spans="1:6">
      <c r="A290" s="2">
        <v>288</v>
      </c>
      <c r="B290">
        <v>2022</v>
      </c>
      <c r="C290" t="s">
        <v>20</v>
      </c>
      <c r="D290" t="s">
        <v>7</v>
      </c>
      <c r="E290" s="1">
        <v>1.8470875849999999</v>
      </c>
      <c r="F290" s="3" t="str">
        <f t="shared" si="4"/>
        <v>주의</v>
      </c>
    </row>
    <row r="291" spans="1:6">
      <c r="A291" s="2">
        <v>289</v>
      </c>
      <c r="B291">
        <v>2022</v>
      </c>
      <c r="C291" t="s">
        <v>20</v>
      </c>
      <c r="D291" t="s">
        <v>8</v>
      </c>
      <c r="E291" s="1">
        <v>0.208419785</v>
      </c>
      <c r="F291" s="3" t="str">
        <f t="shared" si="4"/>
        <v>가능성있음</v>
      </c>
    </row>
    <row r="292" spans="1:6">
      <c r="A292" s="2">
        <v>290</v>
      </c>
      <c r="B292">
        <v>2022</v>
      </c>
      <c r="C292" t="s">
        <v>20</v>
      </c>
      <c r="D292" t="s">
        <v>9</v>
      </c>
      <c r="E292" s="1">
        <v>1.6374855000000001E-2</v>
      </c>
      <c r="F292" s="3" t="str">
        <f t="shared" si="4"/>
        <v>가능성있음</v>
      </c>
    </row>
    <row r="293" spans="1:6">
      <c r="A293" s="2">
        <v>291</v>
      </c>
      <c r="B293">
        <v>2022</v>
      </c>
      <c r="C293" t="s">
        <v>20</v>
      </c>
      <c r="D293" t="s">
        <v>10</v>
      </c>
      <c r="E293" s="1">
        <v>2.7074669999999999E-2</v>
      </c>
      <c r="F293" s="3" t="str">
        <f t="shared" si="4"/>
        <v>가능성있음</v>
      </c>
    </row>
    <row r="294" spans="1:6">
      <c r="A294" s="2">
        <v>292</v>
      </c>
      <c r="B294">
        <v>2022</v>
      </c>
      <c r="C294" t="s">
        <v>20</v>
      </c>
      <c r="D294" t="s">
        <v>11</v>
      </c>
      <c r="E294" s="1">
        <v>1.6059575E-2</v>
      </c>
      <c r="F294" s="3" t="str">
        <f t="shared" si="4"/>
        <v>가능성있음</v>
      </c>
    </row>
    <row r="295" spans="1:6">
      <c r="A295" s="2">
        <v>293</v>
      </c>
      <c r="B295">
        <v>2022</v>
      </c>
      <c r="C295" t="s">
        <v>20</v>
      </c>
      <c r="D295" t="s">
        <v>12</v>
      </c>
      <c r="E295" s="1">
        <v>2.8020509999999998E-2</v>
      </c>
      <c r="F295" s="3" t="str">
        <f t="shared" si="4"/>
        <v>가능성있음</v>
      </c>
    </row>
    <row r="296" spans="1:6">
      <c r="A296" s="2">
        <v>294</v>
      </c>
      <c r="B296">
        <v>2022</v>
      </c>
      <c r="C296" t="s">
        <v>21</v>
      </c>
      <c r="D296" t="s">
        <v>7</v>
      </c>
      <c r="E296" s="1">
        <v>9.5302407900000006</v>
      </c>
      <c r="F296" s="3" t="str">
        <f t="shared" si="4"/>
        <v>주의</v>
      </c>
    </row>
    <row r="297" spans="1:6">
      <c r="A297" s="2">
        <v>295</v>
      </c>
      <c r="B297">
        <v>2022</v>
      </c>
      <c r="C297" t="s">
        <v>21</v>
      </c>
      <c r="D297" t="s">
        <v>8</v>
      </c>
      <c r="E297" s="1">
        <v>1.07536359</v>
      </c>
      <c r="F297" s="3" t="str">
        <f t="shared" si="4"/>
        <v>주의</v>
      </c>
    </row>
    <row r="298" spans="1:6">
      <c r="A298" s="2">
        <v>296</v>
      </c>
      <c r="B298">
        <v>2022</v>
      </c>
      <c r="C298" t="s">
        <v>21</v>
      </c>
      <c r="D298" t="s">
        <v>9</v>
      </c>
      <c r="E298" s="1">
        <v>8.4487770000000004E-2</v>
      </c>
      <c r="F298" s="3" t="str">
        <f t="shared" si="4"/>
        <v>가능성있음</v>
      </c>
    </row>
    <row r="299" spans="1:6">
      <c r="A299" s="2">
        <v>297</v>
      </c>
      <c r="B299">
        <v>2022</v>
      </c>
      <c r="C299" t="s">
        <v>21</v>
      </c>
      <c r="D299" t="s">
        <v>10</v>
      </c>
      <c r="E299" s="1">
        <v>0.13969458000000001</v>
      </c>
      <c r="F299" s="3" t="str">
        <f t="shared" si="4"/>
        <v>가능성있음</v>
      </c>
    </row>
    <row r="300" spans="1:6">
      <c r="A300" s="2">
        <v>298</v>
      </c>
      <c r="B300">
        <v>2022</v>
      </c>
      <c r="C300" t="s">
        <v>21</v>
      </c>
      <c r="D300" t="s">
        <v>11</v>
      </c>
      <c r="E300" s="1">
        <v>8.2861049999999992E-2</v>
      </c>
      <c r="F300" s="3" t="str">
        <f t="shared" si="4"/>
        <v>가능성있음</v>
      </c>
    </row>
    <row r="301" spans="1:6">
      <c r="A301" s="2">
        <v>299</v>
      </c>
      <c r="B301">
        <v>2022</v>
      </c>
      <c r="C301" t="s">
        <v>21</v>
      </c>
      <c r="D301" t="s">
        <v>12</v>
      </c>
      <c r="E301" s="1">
        <v>0.14457474000000001</v>
      </c>
      <c r="F301" s="3" t="str">
        <f t="shared" si="4"/>
        <v>가능성있음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1"/>
  <sheetViews>
    <sheetView topLeftCell="A28" workbookViewId="0">
      <selection activeCell="J14" sqref="J14"/>
    </sheetView>
  </sheetViews>
  <sheetFormatPr defaultRowHeight="16.5"/>
  <cols>
    <col min="5" max="5" width="9.875" style="30" bestFit="1" customWidth="1"/>
    <col min="6" max="6" width="11" style="30" bestFit="1" customWidth="1"/>
    <col min="8" max="8" width="11.5" style="30" customWidth="1"/>
    <col min="9" max="9" width="14.125" style="30" customWidth="1"/>
  </cols>
  <sheetData>
    <row r="1" spans="1:8">
      <c r="A1" s="2" t="s">
        <v>3</v>
      </c>
      <c r="B1" s="2" t="s">
        <v>0</v>
      </c>
      <c r="C1" s="2" t="s">
        <v>1</v>
      </c>
      <c r="D1" s="2" t="s">
        <v>2</v>
      </c>
      <c r="E1" s="2" t="s">
        <v>22</v>
      </c>
      <c r="F1" s="2" t="s">
        <v>5</v>
      </c>
      <c r="G1" s="2"/>
      <c r="H1" s="2"/>
    </row>
    <row r="2" spans="1:8">
      <c r="A2" s="2">
        <v>0</v>
      </c>
      <c r="B2" s="24">
        <v>2018</v>
      </c>
      <c r="C2" t="s">
        <v>6</v>
      </c>
      <c r="D2" t="s">
        <v>7</v>
      </c>
      <c r="E2">
        <v>0.5472737415586445</v>
      </c>
      <c r="F2" s="3" t="str">
        <f t="shared" ref="F2:F65" si="0">IF(E2&gt;=0.8, "조치필요", IF(E2&gt;=0.2, "주의", IF(E2&gt;=0, "가능성있음", "")))</f>
        <v>주의</v>
      </c>
      <c r="G2" s="2"/>
      <c r="H2" s="2"/>
    </row>
    <row r="3" spans="1:8">
      <c r="A3" s="2">
        <v>1</v>
      </c>
      <c r="B3" s="24">
        <v>2018</v>
      </c>
      <c r="C3" t="s">
        <v>6</v>
      </c>
      <c r="D3" t="s">
        <v>8</v>
      </c>
      <c r="E3">
        <v>6.1991708147440663E-2</v>
      </c>
      <c r="F3" s="3" t="str">
        <f t="shared" si="0"/>
        <v>가능성있음</v>
      </c>
    </row>
    <row r="4" spans="1:8">
      <c r="A4" s="2">
        <v>2</v>
      </c>
      <c r="B4" s="24">
        <v>2018</v>
      </c>
      <c r="C4" t="s">
        <v>6</v>
      </c>
      <c r="D4" t="s">
        <v>9</v>
      </c>
      <c r="E4">
        <v>2.3155378303224821E-2</v>
      </c>
      <c r="F4" s="3" t="str">
        <f t="shared" si="0"/>
        <v>가능성있음</v>
      </c>
    </row>
    <row r="5" spans="1:8">
      <c r="A5" s="2">
        <v>3</v>
      </c>
      <c r="B5" s="24">
        <v>2018</v>
      </c>
      <c r="C5" t="s">
        <v>6</v>
      </c>
      <c r="D5" t="s">
        <v>10</v>
      </c>
      <c r="E5">
        <v>2.5904510326095521E-2</v>
      </c>
      <c r="F5" s="3" t="str">
        <f t="shared" si="0"/>
        <v>가능성있음</v>
      </c>
    </row>
    <row r="6" spans="1:8">
      <c r="A6" s="2">
        <v>4</v>
      </c>
      <c r="B6" s="24">
        <v>2018</v>
      </c>
      <c r="C6" t="s">
        <v>6</v>
      </c>
      <c r="D6" t="s">
        <v>11</v>
      </c>
      <c r="E6">
        <v>2.3269387690714759E-2</v>
      </c>
      <c r="F6" s="3" t="str">
        <f t="shared" si="0"/>
        <v>가능성있음</v>
      </c>
    </row>
    <row r="7" spans="1:8">
      <c r="A7" s="2">
        <v>5</v>
      </c>
      <c r="B7" s="24">
        <v>2018</v>
      </c>
      <c r="C7" t="s">
        <v>6</v>
      </c>
      <c r="D7" t="s">
        <v>12</v>
      </c>
      <c r="E7">
        <v>2.3498840546040432E-2</v>
      </c>
      <c r="F7" s="3" t="str">
        <f t="shared" si="0"/>
        <v>가능성있음</v>
      </c>
    </row>
    <row r="8" spans="1:8">
      <c r="A8" s="2">
        <v>6</v>
      </c>
      <c r="B8" s="24">
        <v>2018</v>
      </c>
      <c r="C8" t="s">
        <v>13</v>
      </c>
      <c r="D8" t="s">
        <v>7</v>
      </c>
      <c r="E8">
        <v>0.6882617655536768</v>
      </c>
      <c r="F8" s="3" t="str">
        <f t="shared" si="0"/>
        <v>주의</v>
      </c>
    </row>
    <row r="9" spans="1:8">
      <c r="A9" s="2">
        <v>7</v>
      </c>
      <c r="B9" s="24">
        <v>2018</v>
      </c>
      <c r="C9" t="s">
        <v>13</v>
      </c>
      <c r="D9" t="s">
        <v>8</v>
      </c>
      <c r="E9">
        <v>0.202979732142473</v>
      </c>
      <c r="F9" s="3" t="str">
        <f t="shared" si="0"/>
        <v>주의</v>
      </c>
    </row>
    <row r="10" spans="1:8">
      <c r="A10" s="2">
        <v>8</v>
      </c>
      <c r="B10" s="24">
        <v>2018</v>
      </c>
      <c r="C10" t="s">
        <v>13</v>
      </c>
      <c r="D10" t="s">
        <v>9</v>
      </c>
      <c r="E10">
        <v>0.16414340229825711</v>
      </c>
      <c r="F10" s="3" t="str">
        <f t="shared" si="0"/>
        <v>가능성있음</v>
      </c>
    </row>
    <row r="11" spans="1:8">
      <c r="A11" s="2">
        <v>9</v>
      </c>
      <c r="B11" s="24">
        <v>2018</v>
      </c>
      <c r="C11" t="s">
        <v>13</v>
      </c>
      <c r="D11" t="s">
        <v>10</v>
      </c>
      <c r="E11">
        <v>0.1668925343211278</v>
      </c>
      <c r="F11" s="3" t="str">
        <f t="shared" si="0"/>
        <v>가능성있음</v>
      </c>
    </row>
    <row r="12" spans="1:8">
      <c r="A12" s="2">
        <v>10</v>
      </c>
      <c r="B12" s="24">
        <v>2018</v>
      </c>
      <c r="C12" t="s">
        <v>13</v>
      </c>
      <c r="D12" t="s">
        <v>11</v>
      </c>
      <c r="E12">
        <v>0.16425741168574709</v>
      </c>
      <c r="F12" s="3" t="str">
        <f t="shared" si="0"/>
        <v>가능성있음</v>
      </c>
    </row>
    <row r="13" spans="1:8">
      <c r="A13" s="2">
        <v>11</v>
      </c>
      <c r="B13" s="24">
        <v>2018</v>
      </c>
      <c r="C13" t="s">
        <v>13</v>
      </c>
      <c r="D13" t="s">
        <v>12</v>
      </c>
      <c r="E13">
        <v>0.16448686454107281</v>
      </c>
      <c r="F13" s="3" t="str">
        <f t="shared" si="0"/>
        <v>가능성있음</v>
      </c>
    </row>
    <row r="14" spans="1:8">
      <c r="A14" s="2">
        <v>12</v>
      </c>
      <c r="B14" s="24">
        <v>2018</v>
      </c>
      <c r="C14" t="s">
        <v>14</v>
      </c>
      <c r="D14" t="s">
        <v>7</v>
      </c>
      <c r="E14">
        <v>0.74703396332482908</v>
      </c>
      <c r="F14" s="3" t="str">
        <f t="shared" si="0"/>
        <v>주의</v>
      </c>
    </row>
    <row r="15" spans="1:8">
      <c r="A15" s="2">
        <v>13</v>
      </c>
      <c r="B15" s="24">
        <v>2018</v>
      </c>
      <c r="C15" t="s">
        <v>14</v>
      </c>
      <c r="D15" t="s">
        <v>8</v>
      </c>
      <c r="E15">
        <v>0.26175192991362528</v>
      </c>
      <c r="F15" s="3" t="str">
        <f t="shared" si="0"/>
        <v>주의</v>
      </c>
    </row>
    <row r="16" spans="1:8">
      <c r="A16" s="2">
        <v>14</v>
      </c>
      <c r="B16" s="24">
        <v>2018</v>
      </c>
      <c r="C16" t="s">
        <v>14</v>
      </c>
      <c r="D16" t="s">
        <v>9</v>
      </c>
      <c r="E16">
        <v>0.22291560006940939</v>
      </c>
      <c r="F16" s="3" t="str">
        <f t="shared" si="0"/>
        <v>주의</v>
      </c>
    </row>
    <row r="17" spans="1:6">
      <c r="A17" s="2">
        <v>15</v>
      </c>
      <c r="B17" s="24">
        <v>2018</v>
      </c>
      <c r="C17" t="s">
        <v>14</v>
      </c>
      <c r="D17" t="s">
        <v>10</v>
      </c>
      <c r="E17">
        <v>0.22566473209228019</v>
      </c>
      <c r="F17" s="3" t="str">
        <f t="shared" si="0"/>
        <v>주의</v>
      </c>
    </row>
    <row r="18" spans="1:6">
      <c r="A18" s="2">
        <v>16</v>
      </c>
      <c r="B18" s="24">
        <v>2018</v>
      </c>
      <c r="C18" t="s">
        <v>14</v>
      </c>
      <c r="D18" t="s">
        <v>11</v>
      </c>
      <c r="E18">
        <v>0.2230296094568994</v>
      </c>
      <c r="F18" s="3" t="str">
        <f t="shared" si="0"/>
        <v>주의</v>
      </c>
    </row>
    <row r="19" spans="1:6">
      <c r="A19" s="2">
        <v>17</v>
      </c>
      <c r="B19" s="24">
        <v>2018</v>
      </c>
      <c r="C19" t="s">
        <v>14</v>
      </c>
      <c r="D19" t="s">
        <v>12</v>
      </c>
      <c r="E19">
        <v>0.223259062312225</v>
      </c>
      <c r="F19" s="3" t="str">
        <f t="shared" si="0"/>
        <v>주의</v>
      </c>
    </row>
    <row r="20" spans="1:6">
      <c r="A20" s="2">
        <v>18</v>
      </c>
      <c r="B20" s="24">
        <v>2018</v>
      </c>
      <c r="C20" t="s">
        <v>15</v>
      </c>
      <c r="D20" t="s">
        <v>7</v>
      </c>
      <c r="E20">
        <v>0.53688956577481195</v>
      </c>
      <c r="F20" s="3" t="str">
        <f t="shared" si="0"/>
        <v>주의</v>
      </c>
    </row>
    <row r="21" spans="1:6">
      <c r="A21" s="2">
        <v>19</v>
      </c>
      <c r="B21" s="24">
        <v>2018</v>
      </c>
      <c r="C21" t="s">
        <v>15</v>
      </c>
      <c r="D21" t="s">
        <v>8</v>
      </c>
      <c r="E21">
        <v>5.1607532363608183E-2</v>
      </c>
      <c r="F21" s="3" t="str">
        <f t="shared" si="0"/>
        <v>가능성있음</v>
      </c>
    </row>
    <row r="22" spans="1:6">
      <c r="A22" s="2">
        <v>20</v>
      </c>
      <c r="B22" s="24">
        <v>2018</v>
      </c>
      <c r="C22" t="s">
        <v>15</v>
      </c>
      <c r="D22" t="s">
        <v>9</v>
      </c>
      <c r="E22">
        <v>1.2771202519392349E-2</v>
      </c>
      <c r="F22" s="3" t="str">
        <f t="shared" si="0"/>
        <v>가능성있음</v>
      </c>
    </row>
    <row r="23" spans="1:6">
      <c r="A23" s="2">
        <v>21</v>
      </c>
      <c r="B23" s="24">
        <v>2018</v>
      </c>
      <c r="C23" t="s">
        <v>15</v>
      </c>
      <c r="D23" t="s">
        <v>10</v>
      </c>
      <c r="E23">
        <v>1.5520334542263059E-2</v>
      </c>
      <c r="F23" s="3" t="str">
        <f t="shared" si="0"/>
        <v>가능성있음</v>
      </c>
    </row>
    <row r="24" spans="1:6">
      <c r="A24" s="2">
        <v>22</v>
      </c>
      <c r="B24" s="24">
        <v>2018</v>
      </c>
      <c r="C24" t="s">
        <v>15</v>
      </c>
      <c r="D24" t="s">
        <v>11</v>
      </c>
      <c r="E24">
        <v>1.288521190688229E-2</v>
      </c>
      <c r="F24" s="3" t="str">
        <f t="shared" si="0"/>
        <v>가능성있음</v>
      </c>
    </row>
    <row r="25" spans="1:6">
      <c r="A25" s="2">
        <v>23</v>
      </c>
      <c r="B25" s="24">
        <v>2018</v>
      </c>
      <c r="C25" t="s">
        <v>15</v>
      </c>
      <c r="D25" t="s">
        <v>12</v>
      </c>
      <c r="E25">
        <v>1.311466476220797E-2</v>
      </c>
      <c r="F25" s="3" t="str">
        <f t="shared" si="0"/>
        <v>가능성있음</v>
      </c>
    </row>
    <row r="26" spans="1:6">
      <c r="A26" s="2">
        <v>24</v>
      </c>
      <c r="B26" s="24">
        <v>2018</v>
      </c>
      <c r="C26" t="s">
        <v>16</v>
      </c>
      <c r="D26" t="s">
        <v>7</v>
      </c>
      <c r="E26">
        <v>0.56825577109783132</v>
      </c>
      <c r="F26" s="3" t="str">
        <f t="shared" si="0"/>
        <v>주의</v>
      </c>
    </row>
    <row r="27" spans="1:6">
      <c r="A27" s="2">
        <v>25</v>
      </c>
      <c r="B27" s="24">
        <v>2018</v>
      </c>
      <c r="C27" t="s">
        <v>16</v>
      </c>
      <c r="D27" t="s">
        <v>8</v>
      </c>
      <c r="E27">
        <v>8.2973737686627622E-2</v>
      </c>
      <c r="F27" s="3" t="str">
        <f t="shared" si="0"/>
        <v>가능성있음</v>
      </c>
    </row>
    <row r="28" spans="1:6">
      <c r="A28" s="2">
        <v>26</v>
      </c>
      <c r="B28" s="24">
        <v>2018</v>
      </c>
      <c r="C28" t="s">
        <v>16</v>
      </c>
      <c r="D28" t="s">
        <v>9</v>
      </c>
      <c r="E28">
        <v>4.4137407842411769E-2</v>
      </c>
      <c r="F28" s="3" t="str">
        <f t="shared" si="0"/>
        <v>가능성있음</v>
      </c>
    </row>
    <row r="29" spans="1:6">
      <c r="A29" s="2">
        <v>27</v>
      </c>
      <c r="B29" s="24">
        <v>2018</v>
      </c>
      <c r="C29" t="s">
        <v>16</v>
      </c>
      <c r="D29" t="s">
        <v>10</v>
      </c>
      <c r="E29">
        <v>4.6886539865282482E-2</v>
      </c>
      <c r="F29" s="3" t="str">
        <f t="shared" si="0"/>
        <v>가능성있음</v>
      </c>
    </row>
    <row r="30" spans="1:6">
      <c r="A30" s="2">
        <v>28</v>
      </c>
      <c r="B30" s="24">
        <v>2018</v>
      </c>
      <c r="C30" t="s">
        <v>16</v>
      </c>
      <c r="D30" t="s">
        <v>11</v>
      </c>
      <c r="E30">
        <v>4.4251417229901717E-2</v>
      </c>
      <c r="F30" s="3" t="str">
        <f t="shared" si="0"/>
        <v>가능성있음</v>
      </c>
    </row>
    <row r="31" spans="1:6">
      <c r="A31" s="2">
        <v>29</v>
      </c>
      <c r="B31" s="24">
        <v>2018</v>
      </c>
      <c r="C31" t="s">
        <v>16</v>
      </c>
      <c r="D31" t="s">
        <v>12</v>
      </c>
      <c r="E31">
        <v>4.4480870085227393E-2</v>
      </c>
      <c r="F31" s="3" t="str">
        <f t="shared" si="0"/>
        <v>가능성있음</v>
      </c>
    </row>
    <row r="32" spans="1:6">
      <c r="A32" s="2">
        <v>30</v>
      </c>
      <c r="B32" s="24">
        <v>2018</v>
      </c>
      <c r="C32" t="s">
        <v>17</v>
      </c>
      <c r="D32" t="s">
        <v>7</v>
      </c>
      <c r="E32">
        <v>0.52522045400115569</v>
      </c>
      <c r="F32" s="3" t="str">
        <f t="shared" si="0"/>
        <v>주의</v>
      </c>
    </row>
    <row r="33" spans="1:6">
      <c r="A33" s="2">
        <v>31</v>
      </c>
      <c r="B33" s="24">
        <v>2018</v>
      </c>
      <c r="C33" t="s">
        <v>17</v>
      </c>
      <c r="D33" t="s">
        <v>8</v>
      </c>
      <c r="E33">
        <v>3.9938420589951971E-2</v>
      </c>
      <c r="F33" s="3" t="str">
        <f t="shared" si="0"/>
        <v>가능성있음</v>
      </c>
    </row>
    <row r="34" spans="1:6">
      <c r="A34" s="2">
        <v>32</v>
      </c>
      <c r="B34" s="24">
        <v>2018</v>
      </c>
      <c r="C34" t="s">
        <v>17</v>
      </c>
      <c r="D34" t="s">
        <v>9</v>
      </c>
      <c r="E34">
        <v>1.102090745736122E-3</v>
      </c>
      <c r="F34" s="3" t="str">
        <f t="shared" si="0"/>
        <v>가능성있음</v>
      </c>
    </row>
    <row r="35" spans="1:6">
      <c r="A35" s="2">
        <v>33</v>
      </c>
      <c r="B35" s="24">
        <v>2018</v>
      </c>
      <c r="C35" t="s">
        <v>17</v>
      </c>
      <c r="D35" t="s">
        <v>10</v>
      </c>
      <c r="E35">
        <v>3.8512227686068332E-3</v>
      </c>
      <c r="F35" s="3" t="str">
        <f t="shared" si="0"/>
        <v>가능성있음</v>
      </c>
    </row>
    <row r="36" spans="1:6">
      <c r="A36" s="2">
        <v>34</v>
      </c>
      <c r="B36" s="24">
        <v>2018</v>
      </c>
      <c r="C36" t="s">
        <v>17</v>
      </c>
      <c r="D36" t="s">
        <v>11</v>
      </c>
      <c r="E36">
        <v>1.216100133226064E-3</v>
      </c>
      <c r="F36" s="3" t="str">
        <f t="shared" si="0"/>
        <v>가능성있음</v>
      </c>
    </row>
    <row r="37" spans="1:6">
      <c r="A37" s="2">
        <v>35</v>
      </c>
      <c r="B37" s="24">
        <v>2018</v>
      </c>
      <c r="C37" t="s">
        <v>17</v>
      </c>
      <c r="D37" t="s">
        <v>12</v>
      </c>
      <c r="E37">
        <v>1.445552988551736E-3</v>
      </c>
      <c r="F37" s="3" t="str">
        <f t="shared" si="0"/>
        <v>가능성있음</v>
      </c>
    </row>
    <row r="38" spans="1:6">
      <c r="A38" s="2">
        <v>36</v>
      </c>
      <c r="B38" s="24">
        <v>2018</v>
      </c>
      <c r="C38" t="s">
        <v>18</v>
      </c>
      <c r="D38" t="s">
        <v>7</v>
      </c>
      <c r="E38">
        <v>0.53592586378244422</v>
      </c>
      <c r="F38" s="3" t="str">
        <f t="shared" si="0"/>
        <v>주의</v>
      </c>
    </row>
    <row r="39" spans="1:6">
      <c r="A39" s="2">
        <v>37</v>
      </c>
      <c r="B39" s="24">
        <v>2018</v>
      </c>
      <c r="C39" t="s">
        <v>18</v>
      </c>
      <c r="D39" t="s">
        <v>8</v>
      </c>
      <c r="E39">
        <v>5.0643830371240373E-2</v>
      </c>
      <c r="F39" s="3" t="str">
        <f t="shared" si="0"/>
        <v>가능성있음</v>
      </c>
    </row>
    <row r="40" spans="1:6">
      <c r="A40" s="2">
        <v>38</v>
      </c>
      <c r="B40" s="24">
        <v>2018</v>
      </c>
      <c r="C40" t="s">
        <v>18</v>
      </c>
      <c r="D40" t="s">
        <v>9</v>
      </c>
      <c r="E40">
        <v>1.180750052702453E-2</v>
      </c>
      <c r="F40" s="3" t="str">
        <f t="shared" si="0"/>
        <v>가능성있음</v>
      </c>
    </row>
    <row r="41" spans="1:6">
      <c r="A41" s="2">
        <v>39</v>
      </c>
      <c r="B41" s="24">
        <v>2018</v>
      </c>
      <c r="C41" t="s">
        <v>18</v>
      </c>
      <c r="D41" t="s">
        <v>10</v>
      </c>
      <c r="E41">
        <v>1.455663254989524E-2</v>
      </c>
      <c r="F41" s="3" t="str">
        <f t="shared" si="0"/>
        <v>가능성있음</v>
      </c>
    </row>
    <row r="42" spans="1:6">
      <c r="A42" s="2">
        <v>40</v>
      </c>
      <c r="B42" s="24">
        <v>2018</v>
      </c>
      <c r="C42" t="s">
        <v>18</v>
      </c>
      <c r="D42" t="s">
        <v>11</v>
      </c>
      <c r="E42">
        <v>1.192150991451447E-2</v>
      </c>
      <c r="F42" s="3" t="str">
        <f t="shared" si="0"/>
        <v>가능성있음</v>
      </c>
    </row>
    <row r="43" spans="1:6">
      <c r="A43" s="2">
        <v>41</v>
      </c>
      <c r="B43" s="24">
        <v>2018</v>
      </c>
      <c r="C43" t="s">
        <v>18</v>
      </c>
      <c r="D43" t="s">
        <v>12</v>
      </c>
      <c r="E43">
        <v>1.2150962769840141E-2</v>
      </c>
      <c r="F43" s="3" t="str">
        <f t="shared" si="0"/>
        <v>가능성있음</v>
      </c>
    </row>
    <row r="44" spans="1:6">
      <c r="A44" s="2">
        <v>42</v>
      </c>
      <c r="B44" s="24">
        <v>2018</v>
      </c>
      <c r="C44" t="s">
        <v>19</v>
      </c>
      <c r="D44" t="s">
        <v>7</v>
      </c>
      <c r="E44">
        <v>1</v>
      </c>
      <c r="F44" s="3" t="str">
        <f t="shared" si="0"/>
        <v>조치필요</v>
      </c>
    </row>
    <row r="45" spans="1:6">
      <c r="A45" s="2">
        <v>43</v>
      </c>
      <c r="B45" s="24">
        <v>2018</v>
      </c>
      <c r="C45" t="s">
        <v>19</v>
      </c>
      <c r="D45" t="s">
        <v>8</v>
      </c>
      <c r="E45">
        <v>0.51471796658879598</v>
      </c>
      <c r="F45" s="3" t="str">
        <f t="shared" si="0"/>
        <v>주의</v>
      </c>
    </row>
    <row r="46" spans="1:6">
      <c r="A46" s="2">
        <v>44</v>
      </c>
      <c r="B46" s="24">
        <v>2018</v>
      </c>
      <c r="C46" t="s">
        <v>19</v>
      </c>
      <c r="D46" t="s">
        <v>9</v>
      </c>
      <c r="E46">
        <v>0.47588163674458012</v>
      </c>
      <c r="F46" s="3" t="str">
        <f t="shared" si="0"/>
        <v>주의</v>
      </c>
    </row>
    <row r="47" spans="1:6">
      <c r="A47" s="2">
        <v>45</v>
      </c>
      <c r="B47" s="24">
        <v>2018</v>
      </c>
      <c r="C47" t="s">
        <v>19</v>
      </c>
      <c r="D47" t="s">
        <v>10</v>
      </c>
      <c r="E47">
        <v>0.47863076876745092</v>
      </c>
      <c r="F47" s="3" t="str">
        <f t="shared" si="0"/>
        <v>주의</v>
      </c>
    </row>
    <row r="48" spans="1:6">
      <c r="A48" s="2">
        <v>46</v>
      </c>
      <c r="B48" s="24">
        <v>2018</v>
      </c>
      <c r="C48" t="s">
        <v>19</v>
      </c>
      <c r="D48" t="s">
        <v>11</v>
      </c>
      <c r="E48">
        <v>0.47599564613207013</v>
      </c>
      <c r="F48" s="3" t="str">
        <f t="shared" si="0"/>
        <v>주의</v>
      </c>
    </row>
    <row r="49" spans="1:6">
      <c r="A49" s="2">
        <v>47</v>
      </c>
      <c r="B49" s="24">
        <v>2018</v>
      </c>
      <c r="C49" t="s">
        <v>19</v>
      </c>
      <c r="D49" t="s">
        <v>12</v>
      </c>
      <c r="E49">
        <v>0.47622509898739568</v>
      </c>
      <c r="F49" s="3" t="str">
        <f t="shared" si="0"/>
        <v>주의</v>
      </c>
    </row>
    <row r="50" spans="1:6">
      <c r="A50" s="2">
        <v>48</v>
      </c>
      <c r="B50" s="24">
        <v>2018</v>
      </c>
      <c r="C50" t="s">
        <v>20</v>
      </c>
      <c r="D50" t="s">
        <v>7</v>
      </c>
      <c r="E50">
        <v>0.53956555970004771</v>
      </c>
      <c r="F50" s="3" t="str">
        <f t="shared" si="0"/>
        <v>주의</v>
      </c>
    </row>
    <row r="51" spans="1:6">
      <c r="A51" s="2">
        <v>49</v>
      </c>
      <c r="B51" s="24">
        <v>2018</v>
      </c>
      <c r="C51" t="s">
        <v>20</v>
      </c>
      <c r="D51" t="s">
        <v>8</v>
      </c>
      <c r="E51">
        <v>5.4283526288843857E-2</v>
      </c>
      <c r="F51" s="3" t="str">
        <f t="shared" si="0"/>
        <v>가능성있음</v>
      </c>
    </row>
    <row r="52" spans="1:6">
      <c r="A52" s="2">
        <v>50</v>
      </c>
      <c r="B52" s="24">
        <v>2018</v>
      </c>
      <c r="C52" t="s">
        <v>20</v>
      </c>
      <c r="D52" t="s">
        <v>9</v>
      </c>
      <c r="E52">
        <v>1.5447196444627999E-2</v>
      </c>
      <c r="F52" s="3" t="str">
        <f t="shared" si="0"/>
        <v>가능성있음</v>
      </c>
    </row>
    <row r="53" spans="1:6">
      <c r="A53" s="2">
        <v>51</v>
      </c>
      <c r="B53" s="24">
        <v>2018</v>
      </c>
      <c r="C53" t="s">
        <v>20</v>
      </c>
      <c r="D53" t="s">
        <v>10</v>
      </c>
      <c r="E53">
        <v>1.8196328467498721E-2</v>
      </c>
      <c r="F53" s="3" t="str">
        <f t="shared" si="0"/>
        <v>가능성있음</v>
      </c>
    </row>
    <row r="54" spans="1:6">
      <c r="A54" s="2">
        <v>52</v>
      </c>
      <c r="B54" s="24">
        <v>2018</v>
      </c>
      <c r="C54" t="s">
        <v>20</v>
      </c>
      <c r="D54" t="s">
        <v>11</v>
      </c>
      <c r="E54">
        <v>1.5561205832117951E-2</v>
      </c>
      <c r="F54" s="3" t="str">
        <f t="shared" si="0"/>
        <v>가능성있음</v>
      </c>
    </row>
    <row r="55" spans="1:6">
      <c r="A55" s="2">
        <v>53</v>
      </c>
      <c r="B55" s="24">
        <v>2018</v>
      </c>
      <c r="C55" t="s">
        <v>20</v>
      </c>
      <c r="D55" t="s">
        <v>12</v>
      </c>
      <c r="E55">
        <v>1.5790658687443618E-2</v>
      </c>
      <c r="F55" s="3" t="str">
        <f t="shared" si="0"/>
        <v>가능성있음</v>
      </c>
    </row>
    <row r="56" spans="1:6">
      <c r="A56" s="2">
        <v>54</v>
      </c>
      <c r="B56" s="24">
        <v>2018</v>
      </c>
      <c r="C56" t="s">
        <v>21</v>
      </c>
      <c r="D56" t="s">
        <v>7</v>
      </c>
      <c r="E56">
        <v>0.60593838330386285</v>
      </c>
      <c r="F56" s="3" t="str">
        <f t="shared" si="0"/>
        <v>주의</v>
      </c>
    </row>
    <row r="57" spans="1:6">
      <c r="A57" s="2">
        <v>55</v>
      </c>
      <c r="B57" s="24">
        <v>2018</v>
      </c>
      <c r="C57" t="s">
        <v>21</v>
      </c>
      <c r="D57" t="s">
        <v>8</v>
      </c>
      <c r="E57">
        <v>0.1206563498926591</v>
      </c>
      <c r="F57" s="3" t="str">
        <f t="shared" si="0"/>
        <v>가능성있음</v>
      </c>
    </row>
    <row r="58" spans="1:6">
      <c r="A58" s="2">
        <v>56</v>
      </c>
      <c r="B58" s="24">
        <v>2018</v>
      </c>
      <c r="C58" t="s">
        <v>21</v>
      </c>
      <c r="D58" t="s">
        <v>9</v>
      </c>
      <c r="E58">
        <v>8.1820020048443215E-2</v>
      </c>
      <c r="F58" s="3" t="str">
        <f t="shared" si="0"/>
        <v>가능성있음</v>
      </c>
    </row>
    <row r="59" spans="1:6">
      <c r="A59" s="2">
        <v>57</v>
      </c>
      <c r="B59" s="24">
        <v>2018</v>
      </c>
      <c r="C59" t="s">
        <v>21</v>
      </c>
      <c r="D59" t="s">
        <v>10</v>
      </c>
      <c r="E59">
        <v>8.4569152071313936E-2</v>
      </c>
      <c r="F59" s="3" t="str">
        <f t="shared" si="0"/>
        <v>가능성있음</v>
      </c>
    </row>
    <row r="60" spans="1:6">
      <c r="A60" s="2">
        <v>58</v>
      </c>
      <c r="B60" s="24">
        <v>2018</v>
      </c>
      <c r="C60" t="s">
        <v>21</v>
      </c>
      <c r="D60" t="s">
        <v>11</v>
      </c>
      <c r="E60">
        <v>8.1934029435933156E-2</v>
      </c>
      <c r="F60" s="3" t="str">
        <f t="shared" si="0"/>
        <v>가능성있음</v>
      </c>
    </row>
    <row r="61" spans="1:6">
      <c r="A61" s="2">
        <v>59</v>
      </c>
      <c r="B61" s="24">
        <v>2018</v>
      </c>
      <c r="C61" t="s">
        <v>21</v>
      </c>
      <c r="D61" s="25" t="s">
        <v>12</v>
      </c>
      <c r="E61">
        <v>8.2163482291258819E-2</v>
      </c>
      <c r="F61" s="3" t="str">
        <f t="shared" si="0"/>
        <v>가능성있음</v>
      </c>
    </row>
    <row r="62" spans="1:6">
      <c r="A62" s="2">
        <v>60</v>
      </c>
      <c r="B62">
        <v>2019</v>
      </c>
      <c r="C62" t="s">
        <v>6</v>
      </c>
      <c r="D62" t="s">
        <v>7</v>
      </c>
      <c r="E62" s="1">
        <v>0.62617684218376013</v>
      </c>
      <c r="F62" s="3" t="str">
        <f t="shared" si="0"/>
        <v>주의</v>
      </c>
    </row>
    <row r="63" spans="1:6">
      <c r="A63" s="2">
        <v>61</v>
      </c>
      <c r="B63">
        <v>2019</v>
      </c>
      <c r="C63" t="s">
        <v>6</v>
      </c>
      <c r="D63" t="s">
        <v>8</v>
      </c>
      <c r="E63" s="1">
        <v>8.4058619468214302E-2</v>
      </c>
      <c r="F63" s="3" t="str">
        <f t="shared" si="0"/>
        <v>가능성있음</v>
      </c>
    </row>
    <row r="64" spans="1:6">
      <c r="A64" s="2">
        <v>62</v>
      </c>
      <c r="B64">
        <v>2019</v>
      </c>
      <c r="C64" t="s">
        <v>6</v>
      </c>
      <c r="D64" t="s">
        <v>9</v>
      </c>
      <c r="E64" s="1">
        <v>3.5507829361647807E-2</v>
      </c>
      <c r="F64" s="3" t="str">
        <f t="shared" si="0"/>
        <v>가능성있음</v>
      </c>
    </row>
    <row r="65" spans="1:6">
      <c r="A65" s="2">
        <v>63</v>
      </c>
      <c r="B65">
        <v>2019</v>
      </c>
      <c r="C65" t="s">
        <v>6</v>
      </c>
      <c r="D65" t="s">
        <v>10</v>
      </c>
      <c r="E65" s="1">
        <v>2.3741200124478171E-2</v>
      </c>
      <c r="F65" s="3" t="str">
        <f t="shared" si="0"/>
        <v>가능성있음</v>
      </c>
    </row>
    <row r="66" spans="1:6">
      <c r="A66" s="2">
        <v>64</v>
      </c>
      <c r="B66">
        <v>2019</v>
      </c>
      <c r="C66" t="s">
        <v>6</v>
      </c>
      <c r="D66" t="s">
        <v>11</v>
      </c>
      <c r="E66" s="1">
        <v>2.579193501895137E-2</v>
      </c>
      <c r="F66" s="3" t="str">
        <f t="shared" ref="F66:F129" si="1">IF(E66&gt;=0.8, "조치필요", IF(E66&gt;=0.2, "주의", IF(E66&gt;=0, "가능성있음", "")))</f>
        <v>가능성있음</v>
      </c>
    </row>
    <row r="67" spans="1:6">
      <c r="A67" s="2">
        <v>65</v>
      </c>
      <c r="B67">
        <v>2019</v>
      </c>
      <c r="C67" t="s">
        <v>6</v>
      </c>
      <c r="D67" t="s">
        <v>12</v>
      </c>
      <c r="E67" s="1">
        <v>2.7297719382026089E-2</v>
      </c>
      <c r="F67" s="3" t="str">
        <f t="shared" si="1"/>
        <v>가능성있음</v>
      </c>
    </row>
    <row r="68" spans="1:6">
      <c r="A68" s="2">
        <v>66</v>
      </c>
      <c r="B68">
        <v>2019</v>
      </c>
      <c r="C68" t="s">
        <v>13</v>
      </c>
      <c r="D68" t="s">
        <v>7</v>
      </c>
      <c r="E68" s="1">
        <v>0.81843682374148674</v>
      </c>
      <c r="F68" s="3" t="str">
        <f t="shared" si="1"/>
        <v>조치필요</v>
      </c>
    </row>
    <row r="69" spans="1:6">
      <c r="A69" s="2">
        <v>67</v>
      </c>
      <c r="B69">
        <v>2019</v>
      </c>
      <c r="C69" t="s">
        <v>13</v>
      </c>
      <c r="D69" t="s">
        <v>8</v>
      </c>
      <c r="E69" s="1">
        <v>0.27631860102594102</v>
      </c>
      <c r="F69" s="3" t="str">
        <f t="shared" si="1"/>
        <v>주의</v>
      </c>
    </row>
    <row r="70" spans="1:6">
      <c r="A70" s="2">
        <v>68</v>
      </c>
      <c r="B70">
        <v>2019</v>
      </c>
      <c r="C70" t="s">
        <v>13</v>
      </c>
      <c r="D70" t="s">
        <v>9</v>
      </c>
      <c r="E70" s="1">
        <v>0.22776781091937451</v>
      </c>
      <c r="F70" s="3" t="str">
        <f t="shared" si="1"/>
        <v>주의</v>
      </c>
    </row>
    <row r="71" spans="1:6">
      <c r="A71" s="2">
        <v>69</v>
      </c>
      <c r="B71">
        <v>2019</v>
      </c>
      <c r="C71" t="s">
        <v>13</v>
      </c>
      <c r="D71" t="s">
        <v>10</v>
      </c>
      <c r="E71" s="1">
        <v>0.21600118168220489</v>
      </c>
      <c r="F71" s="3" t="str">
        <f t="shared" si="1"/>
        <v>주의</v>
      </c>
    </row>
    <row r="72" spans="1:6">
      <c r="A72" s="2">
        <v>70</v>
      </c>
      <c r="B72">
        <v>2019</v>
      </c>
      <c r="C72" t="s">
        <v>13</v>
      </c>
      <c r="D72" t="s">
        <v>11</v>
      </c>
      <c r="E72" s="1">
        <v>0.21805191657667811</v>
      </c>
      <c r="F72" s="3" t="str">
        <f t="shared" si="1"/>
        <v>주의</v>
      </c>
    </row>
    <row r="73" spans="1:6">
      <c r="A73" s="2">
        <v>71</v>
      </c>
      <c r="B73">
        <v>2019</v>
      </c>
      <c r="C73" t="s">
        <v>13</v>
      </c>
      <c r="D73" t="s">
        <v>12</v>
      </c>
      <c r="E73" s="1">
        <v>0.2195577009397528</v>
      </c>
      <c r="F73" s="3" t="str">
        <f t="shared" si="1"/>
        <v>주의</v>
      </c>
    </row>
    <row r="74" spans="1:6">
      <c r="A74" s="2">
        <v>72</v>
      </c>
      <c r="B74">
        <v>2019</v>
      </c>
      <c r="C74" t="s">
        <v>14</v>
      </c>
      <c r="D74" t="s">
        <v>7</v>
      </c>
      <c r="E74" s="1">
        <v>0.82514114935803373</v>
      </c>
      <c r="F74" s="3" t="str">
        <f t="shared" si="1"/>
        <v>조치필요</v>
      </c>
    </row>
    <row r="75" spans="1:6">
      <c r="A75" s="2">
        <v>73</v>
      </c>
      <c r="B75">
        <v>2019</v>
      </c>
      <c r="C75" t="s">
        <v>14</v>
      </c>
      <c r="D75" t="s">
        <v>8</v>
      </c>
      <c r="E75" s="1">
        <v>0.28302292664248802</v>
      </c>
      <c r="F75" s="3" t="str">
        <f t="shared" si="1"/>
        <v>주의</v>
      </c>
    </row>
    <row r="76" spans="1:6">
      <c r="A76" s="2">
        <v>74</v>
      </c>
      <c r="B76">
        <v>2019</v>
      </c>
      <c r="C76" t="s">
        <v>14</v>
      </c>
      <c r="D76" t="s">
        <v>9</v>
      </c>
      <c r="E76" s="1">
        <v>0.23447213653592161</v>
      </c>
      <c r="F76" s="3" t="str">
        <f t="shared" si="1"/>
        <v>주의</v>
      </c>
    </row>
    <row r="77" spans="1:6">
      <c r="A77" s="2">
        <v>75</v>
      </c>
      <c r="B77">
        <v>2019</v>
      </c>
      <c r="C77" t="s">
        <v>14</v>
      </c>
      <c r="D77" t="s">
        <v>10</v>
      </c>
      <c r="E77" s="1">
        <v>0.22270550729875191</v>
      </c>
      <c r="F77" s="3" t="str">
        <f t="shared" si="1"/>
        <v>주의</v>
      </c>
    </row>
    <row r="78" spans="1:6">
      <c r="A78" s="2">
        <v>76</v>
      </c>
      <c r="B78">
        <v>2019</v>
      </c>
      <c r="C78" t="s">
        <v>14</v>
      </c>
      <c r="D78" t="s">
        <v>11</v>
      </c>
      <c r="E78" s="1">
        <v>0.2247562421932251</v>
      </c>
      <c r="F78" s="3" t="str">
        <f t="shared" si="1"/>
        <v>주의</v>
      </c>
    </row>
    <row r="79" spans="1:6">
      <c r="A79" s="2">
        <v>77</v>
      </c>
      <c r="B79">
        <v>2019</v>
      </c>
      <c r="C79" t="s">
        <v>14</v>
      </c>
      <c r="D79" t="s">
        <v>12</v>
      </c>
      <c r="E79" s="1">
        <v>0.22626202655629979</v>
      </c>
      <c r="F79" s="3" t="str">
        <f t="shared" si="1"/>
        <v>주의</v>
      </c>
    </row>
    <row r="80" spans="1:6">
      <c r="A80" s="2">
        <v>78</v>
      </c>
      <c r="B80">
        <v>2019</v>
      </c>
      <c r="C80" t="s">
        <v>15</v>
      </c>
      <c r="D80" t="s">
        <v>7</v>
      </c>
      <c r="E80" s="1">
        <v>0.61488345946069967</v>
      </c>
      <c r="F80" s="3" t="str">
        <f t="shared" si="1"/>
        <v>주의</v>
      </c>
    </row>
    <row r="81" spans="1:6">
      <c r="A81" s="2">
        <v>79</v>
      </c>
      <c r="B81">
        <v>2019</v>
      </c>
      <c r="C81" t="s">
        <v>15</v>
      </c>
      <c r="D81" t="s">
        <v>8</v>
      </c>
      <c r="E81" s="1">
        <v>7.2765236745153866E-2</v>
      </c>
      <c r="F81" s="3" t="str">
        <f t="shared" si="1"/>
        <v>가능성있음</v>
      </c>
    </row>
    <row r="82" spans="1:6">
      <c r="A82" s="2">
        <v>80</v>
      </c>
      <c r="B82">
        <v>2019</v>
      </c>
      <c r="C82" t="s">
        <v>15</v>
      </c>
      <c r="D82" t="s">
        <v>9</v>
      </c>
      <c r="E82" s="1">
        <v>2.4214446638587361E-2</v>
      </c>
      <c r="F82" s="3" t="str">
        <f t="shared" si="1"/>
        <v>가능성있음</v>
      </c>
    </row>
    <row r="83" spans="1:6">
      <c r="A83" s="2">
        <v>81</v>
      </c>
      <c r="B83">
        <v>2019</v>
      </c>
      <c r="C83" t="s">
        <v>15</v>
      </c>
      <c r="D83" t="s">
        <v>10</v>
      </c>
      <c r="E83" s="1">
        <v>1.2447817401417731E-2</v>
      </c>
      <c r="F83" s="3" t="str">
        <f t="shared" si="1"/>
        <v>가능성있음</v>
      </c>
    </row>
    <row r="84" spans="1:6">
      <c r="A84" s="2">
        <v>82</v>
      </c>
      <c r="B84">
        <v>2019</v>
      </c>
      <c r="C84" t="s">
        <v>15</v>
      </c>
      <c r="D84" t="s">
        <v>11</v>
      </c>
      <c r="E84" s="1">
        <v>1.4498552295890929E-2</v>
      </c>
      <c r="F84" s="3" t="str">
        <f t="shared" si="1"/>
        <v>가능성있음</v>
      </c>
    </row>
    <row r="85" spans="1:6">
      <c r="A85" s="2">
        <v>83</v>
      </c>
      <c r="B85">
        <v>2019</v>
      </c>
      <c r="C85" t="s">
        <v>15</v>
      </c>
      <c r="D85" t="s">
        <v>12</v>
      </c>
      <c r="E85" s="1">
        <v>1.600433665896565E-2</v>
      </c>
      <c r="F85" s="3" t="str">
        <f t="shared" si="1"/>
        <v>가능성있음</v>
      </c>
    </row>
    <row r="86" spans="1:6">
      <c r="A86" s="2">
        <v>84</v>
      </c>
      <c r="B86">
        <v>2019</v>
      </c>
      <c r="C86" t="s">
        <v>16</v>
      </c>
      <c r="D86" t="s">
        <v>7</v>
      </c>
      <c r="E86" s="1">
        <v>0.65571889730694033</v>
      </c>
      <c r="F86" s="3" t="str">
        <f t="shared" si="1"/>
        <v>주의</v>
      </c>
    </row>
    <row r="87" spans="1:6">
      <c r="A87" s="2">
        <v>85</v>
      </c>
      <c r="B87">
        <v>2019</v>
      </c>
      <c r="C87" t="s">
        <v>16</v>
      </c>
      <c r="D87" t="s">
        <v>8</v>
      </c>
      <c r="E87" s="1">
        <v>0.1136006745913946</v>
      </c>
      <c r="F87" s="3" t="str">
        <f t="shared" si="1"/>
        <v>가능성있음</v>
      </c>
    </row>
    <row r="88" spans="1:6">
      <c r="A88" s="2">
        <v>86</v>
      </c>
      <c r="B88">
        <v>2019</v>
      </c>
      <c r="C88" t="s">
        <v>16</v>
      </c>
      <c r="D88" t="s">
        <v>9</v>
      </c>
      <c r="E88" s="1">
        <v>6.5049884484828124E-2</v>
      </c>
      <c r="F88" s="3" t="str">
        <f t="shared" si="1"/>
        <v>가능성있음</v>
      </c>
    </row>
    <row r="89" spans="1:6">
      <c r="A89" s="2">
        <v>87</v>
      </c>
      <c r="B89">
        <v>2019</v>
      </c>
      <c r="C89" t="s">
        <v>16</v>
      </c>
      <c r="D89" t="s">
        <v>10</v>
      </c>
      <c r="E89" s="1">
        <v>5.3283255247658493E-2</v>
      </c>
      <c r="F89" s="3" t="str">
        <f t="shared" si="1"/>
        <v>가능성있음</v>
      </c>
    </row>
    <row r="90" spans="1:6">
      <c r="A90" s="2">
        <v>88</v>
      </c>
      <c r="B90">
        <v>2019</v>
      </c>
      <c r="C90" t="s">
        <v>16</v>
      </c>
      <c r="D90" t="s">
        <v>11</v>
      </c>
      <c r="E90" s="1">
        <v>5.5333990142131688E-2</v>
      </c>
      <c r="F90" s="3" t="str">
        <f t="shared" si="1"/>
        <v>가능성있음</v>
      </c>
    </row>
    <row r="91" spans="1:6">
      <c r="A91" s="2">
        <v>89</v>
      </c>
      <c r="B91">
        <v>2019</v>
      </c>
      <c r="C91" t="s">
        <v>16</v>
      </c>
      <c r="D91" t="s">
        <v>12</v>
      </c>
      <c r="E91" s="1">
        <v>5.6839774505206407E-2</v>
      </c>
      <c r="F91" s="3" t="str">
        <f t="shared" si="1"/>
        <v>가능성있음</v>
      </c>
    </row>
    <row r="92" spans="1:6">
      <c r="A92" s="2">
        <v>90</v>
      </c>
      <c r="B92">
        <v>2019</v>
      </c>
      <c r="C92" t="s">
        <v>17</v>
      </c>
      <c r="D92" t="s">
        <v>7</v>
      </c>
      <c r="E92" s="1">
        <v>0.60470148900562293</v>
      </c>
      <c r="F92" s="3" t="str">
        <f t="shared" si="1"/>
        <v>주의</v>
      </c>
    </row>
    <row r="93" spans="1:6">
      <c r="A93" s="2">
        <v>91</v>
      </c>
      <c r="B93">
        <v>2019</v>
      </c>
      <c r="C93" t="s">
        <v>17</v>
      </c>
      <c r="D93" t="s">
        <v>8</v>
      </c>
      <c r="E93" s="1">
        <v>6.2583266290077155E-2</v>
      </c>
      <c r="F93" s="3" t="str">
        <f t="shared" si="1"/>
        <v>가능성있음</v>
      </c>
    </row>
    <row r="94" spans="1:6">
      <c r="A94" s="2">
        <v>92</v>
      </c>
      <c r="B94">
        <v>2019</v>
      </c>
      <c r="C94" t="s">
        <v>17</v>
      </c>
      <c r="D94" t="s">
        <v>9</v>
      </c>
      <c r="E94" s="1">
        <v>1.403247618351065E-2</v>
      </c>
      <c r="F94" s="3" t="str">
        <f t="shared" si="1"/>
        <v>가능성있음</v>
      </c>
    </row>
    <row r="95" spans="1:6">
      <c r="A95" s="2">
        <v>93</v>
      </c>
      <c r="B95">
        <v>2019</v>
      </c>
      <c r="C95" t="s">
        <v>17</v>
      </c>
      <c r="D95" t="s">
        <v>10</v>
      </c>
      <c r="E95" s="1">
        <v>2.265846946341017E-3</v>
      </c>
      <c r="F95" s="3" t="str">
        <f t="shared" si="1"/>
        <v>가능성있음</v>
      </c>
    </row>
    <row r="96" spans="1:6">
      <c r="A96" s="2">
        <v>94</v>
      </c>
      <c r="B96">
        <v>2019</v>
      </c>
      <c r="C96" t="s">
        <v>17</v>
      </c>
      <c r="D96" t="s">
        <v>11</v>
      </c>
      <c r="E96" s="1">
        <v>4.3165818408142133E-3</v>
      </c>
      <c r="F96" s="3" t="str">
        <f t="shared" si="1"/>
        <v>가능성있음</v>
      </c>
    </row>
    <row r="97" spans="1:6">
      <c r="A97" s="2">
        <v>95</v>
      </c>
      <c r="B97">
        <v>2019</v>
      </c>
      <c r="C97" t="s">
        <v>17</v>
      </c>
      <c r="D97" t="s">
        <v>12</v>
      </c>
      <c r="E97" s="1">
        <v>5.8223662038889394E-3</v>
      </c>
      <c r="F97" s="3" t="str">
        <f t="shared" si="1"/>
        <v>가능성있음</v>
      </c>
    </row>
    <row r="98" spans="1:6">
      <c r="A98" s="2">
        <v>96</v>
      </c>
      <c r="B98">
        <v>2019</v>
      </c>
      <c r="C98" t="s">
        <v>18</v>
      </c>
      <c r="D98" t="s">
        <v>7</v>
      </c>
      <c r="E98" s="1">
        <v>0.61525632035060396</v>
      </c>
      <c r="F98" s="3" t="str">
        <f t="shared" si="1"/>
        <v>주의</v>
      </c>
    </row>
    <row r="99" spans="1:6">
      <c r="A99" s="2">
        <v>97</v>
      </c>
      <c r="B99">
        <v>2019</v>
      </c>
      <c r="C99" t="s">
        <v>18</v>
      </c>
      <c r="D99" t="s">
        <v>8</v>
      </c>
      <c r="E99" s="1">
        <v>7.3138097635058102E-2</v>
      </c>
      <c r="F99" s="3" t="str">
        <f t="shared" si="1"/>
        <v>가능성있음</v>
      </c>
    </row>
    <row r="100" spans="1:6">
      <c r="A100" s="2">
        <v>98</v>
      </c>
      <c r="B100">
        <v>2019</v>
      </c>
      <c r="C100" t="s">
        <v>18</v>
      </c>
      <c r="D100" t="s">
        <v>9</v>
      </c>
      <c r="E100" s="1">
        <v>2.458730752849159E-2</v>
      </c>
      <c r="F100" s="3" t="str">
        <f t="shared" si="1"/>
        <v>가능성있음</v>
      </c>
    </row>
    <row r="101" spans="1:6">
      <c r="A101" s="2">
        <v>99</v>
      </c>
      <c r="B101">
        <v>2019</v>
      </c>
      <c r="C101" t="s">
        <v>18</v>
      </c>
      <c r="D101" t="s">
        <v>10</v>
      </c>
      <c r="E101" s="1">
        <v>1.2820678291321949E-2</v>
      </c>
      <c r="F101" s="3" t="str">
        <f t="shared" si="1"/>
        <v>가능성있음</v>
      </c>
    </row>
    <row r="102" spans="1:6">
      <c r="A102" s="2">
        <v>100</v>
      </c>
      <c r="B102">
        <v>2019</v>
      </c>
      <c r="C102" t="s">
        <v>18</v>
      </c>
      <c r="D102" t="s">
        <v>11</v>
      </c>
      <c r="E102" s="1">
        <v>1.487141318579515E-2</v>
      </c>
      <c r="F102" s="3" t="str">
        <f t="shared" si="1"/>
        <v>가능성있음</v>
      </c>
    </row>
    <row r="103" spans="1:6">
      <c r="A103" s="2">
        <v>101</v>
      </c>
      <c r="B103">
        <v>2019</v>
      </c>
      <c r="C103" t="s">
        <v>18</v>
      </c>
      <c r="D103" t="s">
        <v>12</v>
      </c>
      <c r="E103" s="1">
        <v>1.6377197548869869E-2</v>
      </c>
      <c r="F103" s="3" t="str">
        <f t="shared" si="1"/>
        <v>가능성있음</v>
      </c>
    </row>
    <row r="104" spans="1:6">
      <c r="A104" s="2">
        <v>102</v>
      </c>
      <c r="B104">
        <v>2019</v>
      </c>
      <c r="C104" t="s">
        <v>19</v>
      </c>
      <c r="D104" t="s">
        <v>7</v>
      </c>
      <c r="E104" s="1">
        <v>0.60756247929546492</v>
      </c>
      <c r="F104" s="3" t="str">
        <f t="shared" si="1"/>
        <v>주의</v>
      </c>
    </row>
    <row r="105" spans="1:6">
      <c r="A105" s="2">
        <v>103</v>
      </c>
      <c r="B105">
        <v>2019</v>
      </c>
      <c r="C105" t="s">
        <v>19</v>
      </c>
      <c r="D105" t="s">
        <v>8</v>
      </c>
      <c r="E105" s="1">
        <v>6.5444256579919147E-2</v>
      </c>
      <c r="F105" s="3" t="str">
        <f t="shared" si="1"/>
        <v>가능성있음</v>
      </c>
    </row>
    <row r="106" spans="1:6">
      <c r="A106" s="2">
        <v>104</v>
      </c>
      <c r="B106">
        <v>2019</v>
      </c>
      <c r="C106" t="s">
        <v>19</v>
      </c>
      <c r="D106" t="s">
        <v>9</v>
      </c>
      <c r="E106" s="1">
        <v>1.6893466473352631E-2</v>
      </c>
      <c r="F106" s="3" t="str">
        <f t="shared" si="1"/>
        <v>가능성있음</v>
      </c>
    </row>
    <row r="107" spans="1:6">
      <c r="A107" s="2">
        <v>105</v>
      </c>
      <c r="B107">
        <v>2019</v>
      </c>
      <c r="C107" t="s">
        <v>19</v>
      </c>
      <c r="D107" t="s">
        <v>10</v>
      </c>
      <c r="E107" s="1">
        <v>5.1268372361829928E-3</v>
      </c>
      <c r="F107" s="3" t="str">
        <f t="shared" si="1"/>
        <v>가능성있음</v>
      </c>
    </row>
    <row r="108" spans="1:6">
      <c r="A108" s="2">
        <v>106</v>
      </c>
      <c r="B108">
        <v>2019</v>
      </c>
      <c r="C108" t="s">
        <v>19</v>
      </c>
      <c r="D108" t="s">
        <v>11</v>
      </c>
      <c r="E108" s="1">
        <v>7.17757213065619E-3</v>
      </c>
      <c r="F108" s="3" t="str">
        <f t="shared" si="1"/>
        <v>가능성있음</v>
      </c>
    </row>
    <row r="109" spans="1:6">
      <c r="A109" s="2">
        <v>107</v>
      </c>
      <c r="B109">
        <v>2019</v>
      </c>
      <c r="C109" t="s">
        <v>19</v>
      </c>
      <c r="D109" t="s">
        <v>12</v>
      </c>
      <c r="E109" s="1">
        <v>8.6833564937309152E-3</v>
      </c>
      <c r="F109" s="3" t="str">
        <f t="shared" si="1"/>
        <v>가능성있음</v>
      </c>
    </row>
    <row r="110" spans="1:6">
      <c r="A110" s="2">
        <v>108</v>
      </c>
      <c r="B110">
        <v>2019</v>
      </c>
      <c r="C110" t="s">
        <v>20</v>
      </c>
      <c r="D110" t="s">
        <v>7</v>
      </c>
      <c r="E110" s="1">
        <v>0.6289087652424814</v>
      </c>
      <c r="F110" s="3" t="str">
        <f t="shared" si="1"/>
        <v>주의</v>
      </c>
    </row>
    <row r="111" spans="1:6">
      <c r="A111" s="2">
        <v>109</v>
      </c>
      <c r="B111">
        <v>2019</v>
      </c>
      <c r="C111" t="s">
        <v>20</v>
      </c>
      <c r="D111" t="s">
        <v>8</v>
      </c>
      <c r="E111" s="1">
        <v>8.6790542526935591E-2</v>
      </c>
      <c r="F111" s="3" t="str">
        <f t="shared" si="1"/>
        <v>가능성있음</v>
      </c>
    </row>
    <row r="112" spans="1:6">
      <c r="A112" s="2">
        <v>110</v>
      </c>
      <c r="B112">
        <v>2019</v>
      </c>
      <c r="C112" t="s">
        <v>20</v>
      </c>
      <c r="D112" t="s">
        <v>9</v>
      </c>
      <c r="E112" s="1">
        <v>3.8239752420369102E-2</v>
      </c>
      <c r="F112" s="3" t="str">
        <f t="shared" si="1"/>
        <v>가능성있음</v>
      </c>
    </row>
    <row r="113" spans="1:6">
      <c r="A113" s="2">
        <v>111</v>
      </c>
      <c r="B113">
        <v>2019</v>
      </c>
      <c r="C113" t="s">
        <v>20</v>
      </c>
      <c r="D113" t="s">
        <v>10</v>
      </c>
      <c r="E113" s="1">
        <v>2.647312318319946E-2</v>
      </c>
      <c r="F113" s="3" t="str">
        <f t="shared" si="1"/>
        <v>가능성있음</v>
      </c>
    </row>
    <row r="114" spans="1:6">
      <c r="A114" s="2">
        <v>112</v>
      </c>
      <c r="B114">
        <v>2019</v>
      </c>
      <c r="C114" t="s">
        <v>20</v>
      </c>
      <c r="D114" t="s">
        <v>11</v>
      </c>
      <c r="E114" s="1">
        <v>2.8523858077672659E-2</v>
      </c>
      <c r="F114" s="3" t="str">
        <f t="shared" si="1"/>
        <v>가능성있음</v>
      </c>
    </row>
    <row r="115" spans="1:6">
      <c r="A115" s="2">
        <v>113</v>
      </c>
      <c r="B115">
        <v>2019</v>
      </c>
      <c r="C115" t="s">
        <v>20</v>
      </c>
      <c r="D115" t="s">
        <v>12</v>
      </c>
      <c r="E115" s="1">
        <v>3.0029642440747389E-2</v>
      </c>
      <c r="F115" s="3" t="str">
        <f t="shared" si="1"/>
        <v>가능성있음</v>
      </c>
    </row>
    <row r="116" spans="1:6">
      <c r="A116" s="2">
        <v>114</v>
      </c>
      <c r="B116">
        <v>2019</v>
      </c>
      <c r="C116" t="s">
        <v>21</v>
      </c>
      <c r="D116" t="s">
        <v>7</v>
      </c>
      <c r="E116" s="1">
        <v>0.73379023133150045</v>
      </c>
      <c r="F116" s="3" t="str">
        <f t="shared" si="1"/>
        <v>주의</v>
      </c>
    </row>
    <row r="117" spans="1:6">
      <c r="A117" s="2">
        <v>115</v>
      </c>
      <c r="B117">
        <v>2019</v>
      </c>
      <c r="C117" t="s">
        <v>21</v>
      </c>
      <c r="D117" t="s">
        <v>8</v>
      </c>
      <c r="E117" s="1">
        <v>0.19167200861595471</v>
      </c>
      <c r="F117" s="3" t="str">
        <f t="shared" si="1"/>
        <v>가능성있음</v>
      </c>
    </row>
    <row r="118" spans="1:6">
      <c r="A118" s="2">
        <v>116</v>
      </c>
      <c r="B118">
        <v>2019</v>
      </c>
      <c r="C118" t="s">
        <v>21</v>
      </c>
      <c r="D118" t="s">
        <v>9</v>
      </c>
      <c r="E118" s="1">
        <v>0.14312121850938819</v>
      </c>
      <c r="F118" s="3" t="str">
        <f t="shared" si="1"/>
        <v>가능성있음</v>
      </c>
    </row>
    <row r="119" spans="1:6">
      <c r="A119" s="2">
        <v>117</v>
      </c>
      <c r="B119">
        <v>2019</v>
      </c>
      <c r="C119" t="s">
        <v>21</v>
      </c>
      <c r="D119" t="s">
        <v>10</v>
      </c>
      <c r="E119" s="1">
        <v>0.13135458927221849</v>
      </c>
      <c r="F119" s="3" t="str">
        <f t="shared" si="1"/>
        <v>가능성있음</v>
      </c>
    </row>
    <row r="120" spans="1:6">
      <c r="A120" s="2">
        <v>118</v>
      </c>
      <c r="B120">
        <v>2019</v>
      </c>
      <c r="C120" t="s">
        <v>21</v>
      </c>
      <c r="D120" t="s">
        <v>11</v>
      </c>
      <c r="E120" s="1">
        <v>0.13340532416669171</v>
      </c>
      <c r="F120" s="3" t="str">
        <f t="shared" si="1"/>
        <v>가능성있음</v>
      </c>
    </row>
    <row r="121" spans="1:6">
      <c r="A121" s="2">
        <v>119</v>
      </c>
      <c r="B121">
        <v>2019</v>
      </c>
      <c r="C121" t="s">
        <v>21</v>
      </c>
      <c r="D121" t="s">
        <v>12</v>
      </c>
      <c r="E121" s="1">
        <v>0.13491110852976651</v>
      </c>
      <c r="F121" s="3" t="str">
        <f t="shared" si="1"/>
        <v>가능성있음</v>
      </c>
    </row>
    <row r="122" spans="1:6">
      <c r="A122" s="2">
        <v>120</v>
      </c>
      <c r="B122">
        <v>2020</v>
      </c>
      <c r="C122" t="s">
        <v>6</v>
      </c>
      <c r="D122" t="s">
        <v>7</v>
      </c>
      <c r="E122" s="1">
        <v>0.64707856322358304</v>
      </c>
      <c r="F122" s="3" t="str">
        <f t="shared" si="1"/>
        <v>주의</v>
      </c>
    </row>
    <row r="123" spans="1:6">
      <c r="A123" s="2">
        <v>121</v>
      </c>
      <c r="B123">
        <v>2020</v>
      </c>
      <c r="C123" t="s">
        <v>6</v>
      </c>
      <c r="D123" t="s">
        <v>8</v>
      </c>
      <c r="E123" s="1">
        <v>7.6106643950833969E-2</v>
      </c>
      <c r="F123" s="3" t="str">
        <f t="shared" si="1"/>
        <v>가능성있음</v>
      </c>
    </row>
    <row r="124" spans="1:6">
      <c r="A124" s="2">
        <v>122</v>
      </c>
      <c r="B124">
        <v>2020</v>
      </c>
      <c r="C124" t="s">
        <v>6</v>
      </c>
      <c r="D124" t="s">
        <v>9</v>
      </c>
      <c r="E124" s="1">
        <v>2.696071050076651E-2</v>
      </c>
      <c r="F124" s="3" t="str">
        <f t="shared" si="1"/>
        <v>가능성있음</v>
      </c>
    </row>
    <row r="125" spans="1:6">
      <c r="A125" s="2">
        <v>123</v>
      </c>
      <c r="B125">
        <v>2020</v>
      </c>
      <c r="C125" t="s">
        <v>6</v>
      </c>
      <c r="D125" t="s">
        <v>10</v>
      </c>
      <c r="E125" s="1">
        <v>2.065792738103945E-2</v>
      </c>
      <c r="F125" s="3" t="str">
        <f t="shared" si="1"/>
        <v>가능성있음</v>
      </c>
    </row>
    <row r="126" spans="1:6">
      <c r="A126" s="2">
        <v>124</v>
      </c>
      <c r="B126">
        <v>2020</v>
      </c>
      <c r="C126" t="s">
        <v>6</v>
      </c>
      <c r="D126" t="s">
        <v>11</v>
      </c>
      <c r="E126" s="1">
        <v>2.0887380236365119E-2</v>
      </c>
      <c r="F126" s="3" t="str">
        <f t="shared" si="1"/>
        <v>가능성있음</v>
      </c>
    </row>
    <row r="127" spans="1:6">
      <c r="A127" s="2">
        <v>125</v>
      </c>
      <c r="B127">
        <v>2020</v>
      </c>
      <c r="C127" t="s">
        <v>6</v>
      </c>
      <c r="D127" t="s">
        <v>12</v>
      </c>
      <c r="E127" s="1">
        <v>2.387026735559886E-2</v>
      </c>
      <c r="F127" s="3" t="str">
        <f t="shared" si="1"/>
        <v>가능성있음</v>
      </c>
    </row>
    <row r="128" spans="1:6">
      <c r="A128" s="2">
        <v>126</v>
      </c>
      <c r="B128">
        <v>2020</v>
      </c>
      <c r="C128" t="s">
        <v>13</v>
      </c>
      <c r="D128" t="s">
        <v>7</v>
      </c>
      <c r="E128" s="1">
        <v>0.85037379304212879</v>
      </c>
      <c r="F128" s="3" t="str">
        <f t="shared" si="1"/>
        <v>조치필요</v>
      </c>
    </row>
    <row r="129" spans="1:6">
      <c r="A129" s="2">
        <v>127</v>
      </c>
      <c r="B129">
        <v>2020</v>
      </c>
      <c r="C129" t="s">
        <v>13</v>
      </c>
      <c r="D129" t="s">
        <v>8</v>
      </c>
      <c r="E129" s="1">
        <v>0.27940187376937969</v>
      </c>
      <c r="F129" s="3" t="str">
        <f t="shared" si="1"/>
        <v>주의</v>
      </c>
    </row>
    <row r="130" spans="1:6">
      <c r="A130" s="2">
        <v>128</v>
      </c>
      <c r="B130">
        <v>2020</v>
      </c>
      <c r="C130" t="s">
        <v>13</v>
      </c>
      <c r="D130" t="s">
        <v>9</v>
      </c>
      <c r="E130" s="1">
        <v>0.23025594031931229</v>
      </c>
      <c r="F130" s="3" t="str">
        <f t="shared" ref="F130:F193" si="2">IF(E130&gt;=0.8, "조치필요", IF(E130&gt;=0.2, "주의", IF(E130&gt;=0, "가능성있음", "")))</f>
        <v>주의</v>
      </c>
    </row>
    <row r="131" spans="1:6">
      <c r="A131" s="2">
        <v>129</v>
      </c>
      <c r="B131">
        <v>2020</v>
      </c>
      <c r="C131" t="s">
        <v>13</v>
      </c>
      <c r="D131" t="s">
        <v>10</v>
      </c>
      <c r="E131" s="1">
        <v>0.22395315719958531</v>
      </c>
      <c r="F131" s="3" t="str">
        <f t="shared" si="2"/>
        <v>주의</v>
      </c>
    </row>
    <row r="132" spans="1:6">
      <c r="A132" s="2">
        <v>130</v>
      </c>
      <c r="B132">
        <v>2020</v>
      </c>
      <c r="C132" t="s">
        <v>13</v>
      </c>
      <c r="D132" t="s">
        <v>11</v>
      </c>
      <c r="E132" s="1">
        <v>0.22418261005491091</v>
      </c>
      <c r="F132" s="3" t="str">
        <f t="shared" si="2"/>
        <v>주의</v>
      </c>
    </row>
    <row r="133" spans="1:6">
      <c r="A133" s="2">
        <v>131</v>
      </c>
      <c r="B133">
        <v>2020</v>
      </c>
      <c r="C133" t="s">
        <v>13</v>
      </c>
      <c r="D133" t="s">
        <v>12</v>
      </c>
      <c r="E133" s="1">
        <v>0.22716549717414469</v>
      </c>
      <c r="F133" s="3" t="str">
        <f t="shared" si="2"/>
        <v>주의</v>
      </c>
    </row>
    <row r="134" spans="1:6">
      <c r="A134" s="2">
        <v>132</v>
      </c>
      <c r="B134">
        <v>2020</v>
      </c>
      <c r="C134" t="s">
        <v>14</v>
      </c>
      <c r="D134" t="s">
        <v>7</v>
      </c>
      <c r="E134" s="1">
        <v>0.86835716057827839</v>
      </c>
      <c r="F134" s="3" t="str">
        <f t="shared" si="2"/>
        <v>조치필요</v>
      </c>
    </row>
    <row r="135" spans="1:6">
      <c r="A135" s="2">
        <v>133</v>
      </c>
      <c r="B135">
        <v>2020</v>
      </c>
      <c r="C135" t="s">
        <v>14</v>
      </c>
      <c r="D135" t="s">
        <v>8</v>
      </c>
      <c r="E135" s="1">
        <v>0.29738524130552929</v>
      </c>
      <c r="F135" s="3" t="str">
        <f t="shared" si="2"/>
        <v>주의</v>
      </c>
    </row>
    <row r="136" spans="1:6">
      <c r="A136" s="2">
        <v>134</v>
      </c>
      <c r="B136">
        <v>2020</v>
      </c>
      <c r="C136" t="s">
        <v>14</v>
      </c>
      <c r="D136" t="s">
        <v>9</v>
      </c>
      <c r="E136" s="1">
        <v>0.24823930785546189</v>
      </c>
      <c r="F136" s="3" t="str">
        <f t="shared" si="2"/>
        <v>주의</v>
      </c>
    </row>
    <row r="137" spans="1:6">
      <c r="A137" s="2">
        <v>135</v>
      </c>
      <c r="B137">
        <v>2020</v>
      </c>
      <c r="C137" t="s">
        <v>14</v>
      </c>
      <c r="D137" t="s">
        <v>10</v>
      </c>
      <c r="E137" s="1">
        <v>0.24193652473573479</v>
      </c>
      <c r="F137" s="3" t="str">
        <f t="shared" si="2"/>
        <v>주의</v>
      </c>
    </row>
    <row r="138" spans="1:6">
      <c r="A138" s="2">
        <v>136</v>
      </c>
      <c r="B138">
        <v>2020</v>
      </c>
      <c r="C138" t="s">
        <v>14</v>
      </c>
      <c r="D138" t="s">
        <v>11</v>
      </c>
      <c r="E138" s="1">
        <v>0.24216597759106051</v>
      </c>
      <c r="F138" s="3" t="str">
        <f t="shared" si="2"/>
        <v>주의</v>
      </c>
    </row>
    <row r="139" spans="1:6">
      <c r="A139" s="2">
        <v>137</v>
      </c>
      <c r="B139">
        <v>2020</v>
      </c>
      <c r="C139" t="s">
        <v>14</v>
      </c>
      <c r="D139" t="s">
        <v>12</v>
      </c>
      <c r="E139" s="1">
        <v>0.24514886471029421</v>
      </c>
      <c r="F139" s="3" t="str">
        <f t="shared" si="2"/>
        <v>주의</v>
      </c>
    </row>
    <row r="140" spans="1:6">
      <c r="A140" s="2">
        <v>138</v>
      </c>
      <c r="B140">
        <v>2020</v>
      </c>
      <c r="C140" t="s">
        <v>15</v>
      </c>
      <c r="D140" t="s">
        <v>7</v>
      </c>
      <c r="E140" s="1">
        <v>0.63658826549416248</v>
      </c>
      <c r="F140" s="3" t="str">
        <f t="shared" si="2"/>
        <v>주의</v>
      </c>
    </row>
    <row r="141" spans="1:6">
      <c r="A141" s="2">
        <v>139</v>
      </c>
      <c r="B141">
        <v>2020</v>
      </c>
      <c r="C141" t="s">
        <v>15</v>
      </c>
      <c r="D141" t="s">
        <v>8</v>
      </c>
      <c r="E141" s="1">
        <v>6.5616346221413394E-2</v>
      </c>
      <c r="F141" s="3" t="str">
        <f t="shared" si="2"/>
        <v>가능성있음</v>
      </c>
    </row>
    <row r="142" spans="1:6">
      <c r="A142" s="2">
        <v>140</v>
      </c>
      <c r="B142">
        <v>2020</v>
      </c>
      <c r="C142" t="s">
        <v>15</v>
      </c>
      <c r="D142" t="s">
        <v>9</v>
      </c>
      <c r="E142" s="1">
        <v>1.6470412771345921E-2</v>
      </c>
      <c r="F142" s="3" t="str">
        <f t="shared" si="2"/>
        <v>가능성있음</v>
      </c>
    </row>
    <row r="143" spans="1:6">
      <c r="A143" s="2">
        <v>141</v>
      </c>
      <c r="B143">
        <v>2020</v>
      </c>
      <c r="C143" t="s">
        <v>15</v>
      </c>
      <c r="D143" t="s">
        <v>10</v>
      </c>
      <c r="E143" s="1">
        <v>1.0167629651618861E-2</v>
      </c>
      <c r="F143" s="3" t="str">
        <f t="shared" si="2"/>
        <v>가능성있음</v>
      </c>
    </row>
    <row r="144" spans="1:6">
      <c r="A144" s="2">
        <v>142</v>
      </c>
      <c r="B144">
        <v>2020</v>
      </c>
      <c r="C144" t="s">
        <v>15</v>
      </c>
      <c r="D144" t="s">
        <v>11</v>
      </c>
      <c r="E144" s="1">
        <v>1.039708250694453E-2</v>
      </c>
      <c r="F144" s="3" t="str">
        <f t="shared" si="2"/>
        <v>가능성있음</v>
      </c>
    </row>
    <row r="145" spans="1:6">
      <c r="A145" s="2">
        <v>143</v>
      </c>
      <c r="B145">
        <v>2020</v>
      </c>
      <c r="C145" t="s">
        <v>15</v>
      </c>
      <c r="D145" t="s">
        <v>12</v>
      </c>
      <c r="E145" s="1">
        <v>1.3379969626178269E-2</v>
      </c>
      <c r="F145" s="3" t="str">
        <f t="shared" si="2"/>
        <v>가능성있음</v>
      </c>
    </row>
    <row r="146" spans="1:6">
      <c r="A146" s="2">
        <v>144</v>
      </c>
      <c r="B146">
        <v>2020</v>
      </c>
      <c r="C146" t="s">
        <v>16</v>
      </c>
      <c r="D146" t="s">
        <v>7</v>
      </c>
      <c r="E146" s="1">
        <v>0.68647992072403841</v>
      </c>
      <c r="F146" s="3" t="str">
        <f t="shared" si="2"/>
        <v>주의</v>
      </c>
    </row>
    <row r="147" spans="1:6">
      <c r="A147" s="2">
        <v>145</v>
      </c>
      <c r="B147">
        <v>2020</v>
      </c>
      <c r="C147" t="s">
        <v>16</v>
      </c>
      <c r="D147" t="s">
        <v>8</v>
      </c>
      <c r="E147" s="1">
        <v>0.1155080014512893</v>
      </c>
      <c r="F147" s="3" t="str">
        <f t="shared" si="2"/>
        <v>가능성있음</v>
      </c>
    </row>
    <row r="148" spans="1:6">
      <c r="A148" s="2">
        <v>146</v>
      </c>
      <c r="B148">
        <v>2020</v>
      </c>
      <c r="C148" t="s">
        <v>16</v>
      </c>
      <c r="D148" t="s">
        <v>9</v>
      </c>
      <c r="E148" s="1">
        <v>6.6362068001221824E-2</v>
      </c>
      <c r="F148" s="3" t="str">
        <f t="shared" si="2"/>
        <v>가능성있음</v>
      </c>
    </row>
    <row r="149" spans="1:6">
      <c r="A149" s="2">
        <v>147</v>
      </c>
      <c r="B149">
        <v>2020</v>
      </c>
      <c r="C149" t="s">
        <v>16</v>
      </c>
      <c r="D149" t="s">
        <v>10</v>
      </c>
      <c r="E149" s="1">
        <v>6.0059284881494757E-2</v>
      </c>
      <c r="F149" s="3" t="str">
        <f t="shared" si="2"/>
        <v>가능성있음</v>
      </c>
    </row>
    <row r="150" spans="1:6">
      <c r="A150" s="2">
        <v>148</v>
      </c>
      <c r="B150">
        <v>2020</v>
      </c>
      <c r="C150" t="s">
        <v>16</v>
      </c>
      <c r="D150" t="s">
        <v>11</v>
      </c>
      <c r="E150" s="1">
        <v>6.0288737736820433E-2</v>
      </c>
      <c r="F150" s="3" t="str">
        <f t="shared" si="2"/>
        <v>가능성있음</v>
      </c>
    </row>
    <row r="151" spans="1:6">
      <c r="A151" s="2">
        <v>149</v>
      </c>
      <c r="B151">
        <v>2020</v>
      </c>
      <c r="C151" t="s">
        <v>16</v>
      </c>
      <c r="D151" t="s">
        <v>12</v>
      </c>
      <c r="E151" s="1">
        <v>6.3271624856054171E-2</v>
      </c>
      <c r="F151" s="3" t="str">
        <f t="shared" si="2"/>
        <v>가능성있음</v>
      </c>
    </row>
    <row r="152" spans="1:6">
      <c r="A152" s="2">
        <v>150</v>
      </c>
      <c r="B152">
        <v>2020</v>
      </c>
      <c r="C152" t="s">
        <v>17</v>
      </c>
      <c r="D152" t="s">
        <v>7</v>
      </c>
      <c r="E152" s="1">
        <v>0.62642063584254359</v>
      </c>
      <c r="F152" s="3" t="str">
        <f t="shared" si="2"/>
        <v>주의</v>
      </c>
    </row>
    <row r="153" spans="1:6">
      <c r="A153" s="2">
        <v>151</v>
      </c>
      <c r="B153">
        <v>2020</v>
      </c>
      <c r="C153" t="s">
        <v>17</v>
      </c>
      <c r="D153" t="s">
        <v>8</v>
      </c>
      <c r="E153" s="1">
        <v>5.5448716569794519E-2</v>
      </c>
      <c r="F153" s="3" t="str">
        <f t="shared" si="2"/>
        <v>가능성있음</v>
      </c>
    </row>
    <row r="154" spans="1:6">
      <c r="A154" s="2">
        <v>152</v>
      </c>
      <c r="B154">
        <v>2020</v>
      </c>
      <c r="C154" t="s">
        <v>17</v>
      </c>
      <c r="D154" t="s">
        <v>9</v>
      </c>
      <c r="E154" s="1">
        <v>6.3027831197270661E-3</v>
      </c>
      <c r="F154" s="3" t="str">
        <f t="shared" si="2"/>
        <v>가능성있음</v>
      </c>
    </row>
    <row r="155" spans="1:6">
      <c r="A155" s="2">
        <v>153</v>
      </c>
      <c r="B155">
        <v>2020</v>
      </c>
      <c r="C155" t="s">
        <v>17</v>
      </c>
      <c r="D155" t="s">
        <v>10</v>
      </c>
      <c r="E155" s="1">
        <v>0</v>
      </c>
      <c r="F155" s="3" t="str">
        <f t="shared" si="2"/>
        <v>가능성있음</v>
      </c>
    </row>
    <row r="156" spans="1:6">
      <c r="A156" s="2">
        <v>154</v>
      </c>
      <c r="B156">
        <v>2020</v>
      </c>
      <c r="C156" t="s">
        <v>17</v>
      </c>
      <c r="D156" t="s">
        <v>11</v>
      </c>
      <c r="E156" s="1">
        <v>2.2945285532567259E-4</v>
      </c>
      <c r="F156" s="3" t="str">
        <f t="shared" si="2"/>
        <v>가능성있음</v>
      </c>
    </row>
    <row r="157" spans="1:6">
      <c r="A157" s="2">
        <v>155</v>
      </c>
      <c r="B157">
        <v>2020</v>
      </c>
      <c r="C157" t="s">
        <v>17</v>
      </c>
      <c r="D157" t="s">
        <v>12</v>
      </c>
      <c r="E157" s="1">
        <v>3.2123399745594139E-3</v>
      </c>
      <c r="F157" s="3" t="str">
        <f t="shared" si="2"/>
        <v>가능성있음</v>
      </c>
    </row>
    <row r="158" spans="1:6">
      <c r="A158" s="2">
        <v>156</v>
      </c>
      <c r="B158">
        <v>2020</v>
      </c>
      <c r="C158" t="s">
        <v>18</v>
      </c>
      <c r="D158" t="s">
        <v>7</v>
      </c>
      <c r="E158" s="1">
        <v>0.64140677545600155</v>
      </c>
      <c r="F158" s="3" t="str">
        <f t="shared" si="2"/>
        <v>주의</v>
      </c>
    </row>
    <row r="159" spans="1:6">
      <c r="A159" s="2">
        <v>157</v>
      </c>
      <c r="B159">
        <v>2020</v>
      </c>
      <c r="C159" t="s">
        <v>18</v>
      </c>
      <c r="D159" t="s">
        <v>8</v>
      </c>
      <c r="E159" s="1">
        <v>7.0434856183252514E-2</v>
      </c>
      <c r="F159" s="3" t="str">
        <f t="shared" si="2"/>
        <v>가능성있음</v>
      </c>
    </row>
    <row r="160" spans="1:6">
      <c r="A160" s="2">
        <v>158</v>
      </c>
      <c r="B160">
        <v>2020</v>
      </c>
      <c r="C160" t="s">
        <v>18</v>
      </c>
      <c r="D160" t="s">
        <v>9</v>
      </c>
      <c r="E160" s="1">
        <v>2.1288922733185049E-2</v>
      </c>
      <c r="F160" s="3" t="str">
        <f t="shared" si="2"/>
        <v>가능성있음</v>
      </c>
    </row>
    <row r="161" spans="1:6">
      <c r="A161" s="2">
        <v>159</v>
      </c>
      <c r="B161">
        <v>2020</v>
      </c>
      <c r="C161" t="s">
        <v>18</v>
      </c>
      <c r="D161" t="s">
        <v>10</v>
      </c>
      <c r="E161" s="1">
        <v>1.498613961345798E-2</v>
      </c>
      <c r="F161" s="3" t="str">
        <f t="shared" si="2"/>
        <v>가능성있음</v>
      </c>
    </row>
    <row r="162" spans="1:6">
      <c r="A162" s="2">
        <v>160</v>
      </c>
      <c r="B162">
        <v>2020</v>
      </c>
      <c r="C162" t="s">
        <v>18</v>
      </c>
      <c r="D162" t="s">
        <v>11</v>
      </c>
      <c r="E162" s="1">
        <v>1.5215592468783659E-2</v>
      </c>
      <c r="F162" s="3" t="str">
        <f t="shared" si="2"/>
        <v>가능성있음</v>
      </c>
    </row>
    <row r="163" spans="1:6">
      <c r="A163" s="2">
        <v>161</v>
      </c>
      <c r="B163">
        <v>2020</v>
      </c>
      <c r="C163" t="s">
        <v>18</v>
      </c>
      <c r="D163" t="s">
        <v>12</v>
      </c>
      <c r="E163" s="1">
        <v>1.8198479588017399E-2</v>
      </c>
      <c r="F163" s="3" t="str">
        <f t="shared" si="2"/>
        <v>가능성있음</v>
      </c>
    </row>
    <row r="164" spans="1:6">
      <c r="A164" s="2">
        <v>162</v>
      </c>
      <c r="B164">
        <v>2020</v>
      </c>
      <c r="C164" t="s">
        <v>19</v>
      </c>
      <c r="D164" t="s">
        <v>7</v>
      </c>
      <c r="E164" s="1">
        <v>0.63027831197270656</v>
      </c>
      <c r="F164" s="3" t="str">
        <f t="shared" si="2"/>
        <v>주의</v>
      </c>
    </row>
    <row r="165" spans="1:6">
      <c r="A165" s="2">
        <v>163</v>
      </c>
      <c r="B165">
        <v>2020</v>
      </c>
      <c r="C165" t="s">
        <v>19</v>
      </c>
      <c r="D165" t="s">
        <v>8</v>
      </c>
      <c r="E165" s="1">
        <v>5.930639269995739E-2</v>
      </c>
      <c r="F165" s="3" t="str">
        <f t="shared" si="2"/>
        <v>가능성있음</v>
      </c>
    </row>
    <row r="166" spans="1:6">
      <c r="A166" s="2">
        <v>164</v>
      </c>
      <c r="B166">
        <v>2020</v>
      </c>
      <c r="C166" t="s">
        <v>19</v>
      </c>
      <c r="D166" t="s">
        <v>9</v>
      </c>
      <c r="E166" s="1">
        <v>1.016045924988994E-2</v>
      </c>
      <c r="F166" s="3" t="str">
        <f t="shared" si="2"/>
        <v>가능성있음</v>
      </c>
    </row>
    <row r="167" spans="1:6">
      <c r="A167" s="2">
        <v>165</v>
      </c>
      <c r="B167">
        <v>2020</v>
      </c>
      <c r="C167" t="s">
        <v>19</v>
      </c>
      <c r="D167" t="s">
        <v>10</v>
      </c>
      <c r="E167" s="1">
        <v>3.8576761301628701E-3</v>
      </c>
      <c r="F167" s="3" t="str">
        <f t="shared" si="2"/>
        <v>가능성있음</v>
      </c>
    </row>
    <row r="168" spans="1:6">
      <c r="A168" s="2">
        <v>166</v>
      </c>
      <c r="B168">
        <v>2020</v>
      </c>
      <c r="C168" t="s">
        <v>19</v>
      </c>
      <c r="D168" t="s">
        <v>11</v>
      </c>
      <c r="E168" s="1">
        <v>4.0871289854885421E-3</v>
      </c>
      <c r="F168" s="3" t="str">
        <f t="shared" si="2"/>
        <v>가능성있음</v>
      </c>
    </row>
    <row r="169" spans="1:6">
      <c r="A169" s="2">
        <v>167</v>
      </c>
      <c r="B169">
        <v>2020</v>
      </c>
      <c r="C169" t="s">
        <v>19</v>
      </c>
      <c r="D169" t="s">
        <v>12</v>
      </c>
      <c r="E169" s="1">
        <v>7.0700161047222848E-3</v>
      </c>
      <c r="F169" s="3" t="str">
        <f t="shared" si="2"/>
        <v>가능성있음</v>
      </c>
    </row>
    <row r="170" spans="1:6">
      <c r="A170" s="2">
        <v>168</v>
      </c>
      <c r="B170">
        <v>2020</v>
      </c>
      <c r="C170" t="s">
        <v>20</v>
      </c>
      <c r="D170" t="s">
        <v>7</v>
      </c>
      <c r="E170" s="1">
        <v>0.6472936752754509</v>
      </c>
      <c r="F170" s="3" t="str">
        <f t="shared" si="2"/>
        <v>주의</v>
      </c>
    </row>
    <row r="171" spans="1:6">
      <c r="A171" s="2">
        <v>169</v>
      </c>
      <c r="B171">
        <v>2020</v>
      </c>
      <c r="C171" t="s">
        <v>20</v>
      </c>
      <c r="D171" t="s">
        <v>8</v>
      </c>
      <c r="E171" s="1">
        <v>7.6321756002701788E-2</v>
      </c>
      <c r="F171" s="3" t="str">
        <f t="shared" si="2"/>
        <v>가능성있음</v>
      </c>
    </row>
    <row r="172" spans="1:6">
      <c r="A172" s="2">
        <v>170</v>
      </c>
      <c r="B172">
        <v>2020</v>
      </c>
      <c r="C172" t="s">
        <v>20</v>
      </c>
      <c r="D172" t="s">
        <v>9</v>
      </c>
      <c r="E172" s="1">
        <v>2.7175822552634329E-2</v>
      </c>
      <c r="F172" s="3" t="str">
        <f t="shared" si="2"/>
        <v>가능성있음</v>
      </c>
    </row>
    <row r="173" spans="1:6">
      <c r="A173" s="2">
        <v>171</v>
      </c>
      <c r="B173">
        <v>2020</v>
      </c>
      <c r="C173" t="s">
        <v>20</v>
      </c>
      <c r="D173" t="s">
        <v>10</v>
      </c>
      <c r="E173" s="1">
        <v>2.0873039432907269E-2</v>
      </c>
      <c r="F173" s="3" t="str">
        <f t="shared" si="2"/>
        <v>가능성있음</v>
      </c>
    </row>
    <row r="174" spans="1:6">
      <c r="A174" s="2">
        <v>172</v>
      </c>
      <c r="B174">
        <v>2020</v>
      </c>
      <c r="C174" t="s">
        <v>20</v>
      </c>
      <c r="D174" t="s">
        <v>11</v>
      </c>
      <c r="E174" s="1">
        <v>2.1102492288232941E-2</v>
      </c>
      <c r="F174" s="3" t="str">
        <f t="shared" si="2"/>
        <v>가능성있음</v>
      </c>
    </row>
    <row r="175" spans="1:6">
      <c r="A175" s="2">
        <v>173</v>
      </c>
      <c r="B175">
        <v>2020</v>
      </c>
      <c r="C175" t="s">
        <v>20</v>
      </c>
      <c r="D175" t="s">
        <v>12</v>
      </c>
      <c r="E175" s="1">
        <v>2.4085379407466679E-2</v>
      </c>
      <c r="F175" s="3" t="str">
        <f t="shared" si="2"/>
        <v>가능성있음</v>
      </c>
    </row>
    <row r="176" spans="1:6">
      <c r="A176" s="2">
        <v>174</v>
      </c>
      <c r="B176">
        <v>2020</v>
      </c>
      <c r="C176" t="s">
        <v>21</v>
      </c>
      <c r="D176" t="s">
        <v>7</v>
      </c>
      <c r="E176" s="1">
        <v>0.71698998008062387</v>
      </c>
      <c r="F176" s="3" t="str">
        <f t="shared" si="2"/>
        <v>주의</v>
      </c>
    </row>
    <row r="177" spans="1:6">
      <c r="A177" s="2">
        <v>175</v>
      </c>
      <c r="B177">
        <v>2020</v>
      </c>
      <c r="C177" t="s">
        <v>21</v>
      </c>
      <c r="D177" t="s">
        <v>8</v>
      </c>
      <c r="E177" s="1">
        <v>0.1460180608078748</v>
      </c>
      <c r="F177" s="3" t="str">
        <f t="shared" si="2"/>
        <v>가능성있음</v>
      </c>
    </row>
    <row r="178" spans="1:6">
      <c r="A178" s="2">
        <v>176</v>
      </c>
      <c r="B178">
        <v>2020</v>
      </c>
      <c r="C178" t="s">
        <v>21</v>
      </c>
      <c r="D178" t="s">
        <v>9</v>
      </c>
      <c r="E178" s="1">
        <v>9.6872127357807314E-2</v>
      </c>
      <c r="F178" s="3" t="str">
        <f t="shared" si="2"/>
        <v>가능성있음</v>
      </c>
    </row>
    <row r="179" spans="1:6">
      <c r="A179" s="2">
        <v>177</v>
      </c>
      <c r="B179">
        <v>2020</v>
      </c>
      <c r="C179" t="s">
        <v>21</v>
      </c>
      <c r="D179" t="s">
        <v>10</v>
      </c>
      <c r="E179" s="1">
        <v>9.056934423808026E-2</v>
      </c>
      <c r="F179" s="3" t="str">
        <f t="shared" si="2"/>
        <v>가능성있음</v>
      </c>
    </row>
    <row r="180" spans="1:6">
      <c r="A180" s="2">
        <v>178</v>
      </c>
      <c r="B180">
        <v>2020</v>
      </c>
      <c r="C180" t="s">
        <v>21</v>
      </c>
      <c r="D180" t="s">
        <v>11</v>
      </c>
      <c r="E180" s="1">
        <v>9.0798797093405936E-2</v>
      </c>
      <c r="F180" s="3" t="str">
        <f t="shared" si="2"/>
        <v>가능성있음</v>
      </c>
    </row>
    <row r="181" spans="1:6">
      <c r="A181" s="2">
        <v>179</v>
      </c>
      <c r="B181">
        <v>2020</v>
      </c>
      <c r="C181" t="s">
        <v>21</v>
      </c>
      <c r="D181" t="s">
        <v>12</v>
      </c>
      <c r="E181" s="1">
        <v>9.3781684212639688E-2</v>
      </c>
      <c r="F181" s="3" t="str">
        <f t="shared" si="2"/>
        <v>가능성있음</v>
      </c>
    </row>
    <row r="182" spans="1:6">
      <c r="A182" s="2">
        <v>180</v>
      </c>
      <c r="B182">
        <v>2021</v>
      </c>
      <c r="C182" t="s">
        <v>6</v>
      </c>
      <c r="D182" t="s">
        <v>7</v>
      </c>
      <c r="E182" s="1">
        <v>0.64122034501104952</v>
      </c>
      <c r="F182" s="3" t="str">
        <f t="shared" si="2"/>
        <v>주의</v>
      </c>
    </row>
    <row r="183" spans="1:6">
      <c r="A183" s="2">
        <v>181</v>
      </c>
      <c r="B183">
        <v>2021</v>
      </c>
      <c r="C183" t="s">
        <v>6</v>
      </c>
      <c r="D183" t="s">
        <v>8</v>
      </c>
      <c r="E183" s="1">
        <v>6.687116652397565E-2</v>
      </c>
      <c r="F183" s="3" t="str">
        <f t="shared" si="2"/>
        <v>가능성있음</v>
      </c>
    </row>
    <row r="184" spans="1:6">
      <c r="A184" s="2">
        <v>182</v>
      </c>
      <c r="B184">
        <v>2021</v>
      </c>
      <c r="C184" t="s">
        <v>6</v>
      </c>
      <c r="D184" t="s">
        <v>9</v>
      </c>
      <c r="E184" s="1">
        <v>1.9338573462916831E-2</v>
      </c>
      <c r="F184" s="3" t="str">
        <f t="shared" si="2"/>
        <v>가능성있음</v>
      </c>
    </row>
    <row r="185" spans="1:6">
      <c r="A185" s="2">
        <v>183</v>
      </c>
      <c r="B185">
        <v>2021</v>
      </c>
      <c r="C185" t="s">
        <v>6</v>
      </c>
      <c r="D185" t="s">
        <v>10</v>
      </c>
      <c r="E185" s="1">
        <v>1.6692695224942669E-2</v>
      </c>
      <c r="F185" s="3" t="str">
        <f t="shared" si="2"/>
        <v>가능성있음</v>
      </c>
    </row>
    <row r="186" spans="1:6">
      <c r="A186" s="2">
        <v>184</v>
      </c>
      <c r="B186">
        <v>2021</v>
      </c>
      <c r="C186" t="s">
        <v>6</v>
      </c>
      <c r="D186" t="s">
        <v>11</v>
      </c>
      <c r="E186" s="1">
        <v>1.584658782092925E-2</v>
      </c>
      <c r="F186" s="3" t="str">
        <f t="shared" si="2"/>
        <v>가능성있음</v>
      </c>
    </row>
    <row r="187" spans="1:6">
      <c r="A187" s="2">
        <v>185</v>
      </c>
      <c r="B187">
        <v>2021</v>
      </c>
      <c r="C187" t="s">
        <v>6</v>
      </c>
      <c r="D187" t="s">
        <v>12</v>
      </c>
      <c r="E187" s="1">
        <v>1.7861470706757809E-2</v>
      </c>
      <c r="F187" s="3" t="str">
        <f t="shared" si="2"/>
        <v>가능성있음</v>
      </c>
    </row>
    <row r="188" spans="1:6">
      <c r="A188" s="2">
        <v>186</v>
      </c>
      <c r="B188">
        <v>2021</v>
      </c>
      <c r="C188" t="s">
        <v>13</v>
      </c>
      <c r="D188" t="s">
        <v>7</v>
      </c>
      <c r="E188" s="1">
        <v>0.83284216081490159</v>
      </c>
      <c r="F188" s="3" t="str">
        <f t="shared" si="2"/>
        <v>조치필요</v>
      </c>
    </row>
    <row r="189" spans="1:6">
      <c r="A189" s="2">
        <v>187</v>
      </c>
      <c r="B189">
        <v>2021</v>
      </c>
      <c r="C189" t="s">
        <v>13</v>
      </c>
      <c r="D189" t="s">
        <v>8</v>
      </c>
      <c r="E189" s="1">
        <v>0.25849298232782791</v>
      </c>
      <c r="F189" s="3" t="str">
        <f t="shared" si="2"/>
        <v>주의</v>
      </c>
    </row>
    <row r="190" spans="1:6">
      <c r="A190" s="2">
        <v>188</v>
      </c>
      <c r="B190">
        <v>2021</v>
      </c>
      <c r="C190" t="s">
        <v>13</v>
      </c>
      <c r="D190" t="s">
        <v>9</v>
      </c>
      <c r="E190" s="1">
        <v>0.21096038926676899</v>
      </c>
      <c r="F190" s="3" t="str">
        <f t="shared" si="2"/>
        <v>주의</v>
      </c>
    </row>
    <row r="191" spans="1:6">
      <c r="A191" s="2">
        <v>189</v>
      </c>
      <c r="B191">
        <v>2021</v>
      </c>
      <c r="C191" t="s">
        <v>13</v>
      </c>
      <c r="D191" t="s">
        <v>10</v>
      </c>
      <c r="E191" s="1">
        <v>0.20831451102879489</v>
      </c>
      <c r="F191" s="3" t="str">
        <f t="shared" si="2"/>
        <v>주의</v>
      </c>
    </row>
    <row r="192" spans="1:6">
      <c r="A192" s="2">
        <v>190</v>
      </c>
      <c r="B192">
        <v>2021</v>
      </c>
      <c r="C192" t="s">
        <v>13</v>
      </c>
      <c r="D192" t="s">
        <v>11</v>
      </c>
      <c r="E192" s="1">
        <v>0.20746840362478139</v>
      </c>
      <c r="F192" s="3" t="str">
        <f t="shared" si="2"/>
        <v>주의</v>
      </c>
    </row>
    <row r="193" spans="1:6">
      <c r="A193" s="2">
        <v>191</v>
      </c>
      <c r="B193">
        <v>2021</v>
      </c>
      <c r="C193" t="s">
        <v>13</v>
      </c>
      <c r="D193" t="s">
        <v>12</v>
      </c>
      <c r="E193" s="1">
        <v>0.20948328651060999</v>
      </c>
      <c r="F193" s="3" t="str">
        <f t="shared" si="2"/>
        <v>주의</v>
      </c>
    </row>
    <row r="194" spans="1:6">
      <c r="A194" s="2">
        <v>192</v>
      </c>
      <c r="B194">
        <v>2021</v>
      </c>
      <c r="C194" t="s">
        <v>14</v>
      </c>
      <c r="D194" t="s">
        <v>7</v>
      </c>
      <c r="E194" s="1">
        <v>0.81854437976742078</v>
      </c>
      <c r="F194" s="3" t="str">
        <f t="shared" ref="F194:F257" si="3">IF(E194&gt;=0.8, "조치필요", IF(E194&gt;=0.2, "주의", IF(E194&gt;=0, "가능성있음", "")))</f>
        <v>조치필요</v>
      </c>
    </row>
    <row r="195" spans="1:6">
      <c r="A195" s="2">
        <v>193</v>
      </c>
      <c r="B195">
        <v>2021</v>
      </c>
      <c r="C195" t="s">
        <v>14</v>
      </c>
      <c r="D195" t="s">
        <v>8</v>
      </c>
      <c r="E195" s="1">
        <v>0.24419520128034691</v>
      </c>
      <c r="F195" s="3" t="str">
        <f t="shared" si="3"/>
        <v>주의</v>
      </c>
    </row>
    <row r="196" spans="1:6">
      <c r="A196" s="2">
        <v>194</v>
      </c>
      <c r="B196">
        <v>2021</v>
      </c>
      <c r="C196" t="s">
        <v>14</v>
      </c>
      <c r="D196" t="s">
        <v>9</v>
      </c>
      <c r="E196" s="1">
        <v>0.19666260821928799</v>
      </c>
      <c r="F196" s="3" t="str">
        <f t="shared" si="3"/>
        <v>가능성있음</v>
      </c>
    </row>
    <row r="197" spans="1:6">
      <c r="A197" s="2">
        <v>195</v>
      </c>
      <c r="B197">
        <v>2021</v>
      </c>
      <c r="C197" t="s">
        <v>14</v>
      </c>
      <c r="D197" t="s">
        <v>10</v>
      </c>
      <c r="E197" s="1">
        <v>0.19401672998131389</v>
      </c>
      <c r="F197" s="3" t="str">
        <f t="shared" si="3"/>
        <v>가능성있음</v>
      </c>
    </row>
    <row r="198" spans="1:6">
      <c r="A198" s="2">
        <v>196</v>
      </c>
      <c r="B198">
        <v>2021</v>
      </c>
      <c r="C198" t="s">
        <v>14</v>
      </c>
      <c r="D198" t="s">
        <v>11</v>
      </c>
      <c r="E198" s="1">
        <v>0.19317062257730039</v>
      </c>
      <c r="F198" s="3" t="str">
        <f t="shared" si="3"/>
        <v>가능성있음</v>
      </c>
    </row>
    <row r="199" spans="1:6">
      <c r="A199" s="2">
        <v>197</v>
      </c>
      <c r="B199">
        <v>2021</v>
      </c>
      <c r="C199" t="s">
        <v>14</v>
      </c>
      <c r="D199" t="s">
        <v>12</v>
      </c>
      <c r="E199" s="1">
        <v>0.19518550546312899</v>
      </c>
      <c r="F199" s="3" t="str">
        <f t="shared" si="3"/>
        <v>가능성있음</v>
      </c>
    </row>
    <row r="200" spans="1:6">
      <c r="A200" s="2">
        <v>198</v>
      </c>
      <c r="B200">
        <v>2021</v>
      </c>
      <c r="C200" t="s">
        <v>15</v>
      </c>
      <c r="D200" t="s">
        <v>7</v>
      </c>
      <c r="E200" s="1">
        <v>0.63398540966656181</v>
      </c>
      <c r="F200" s="3" t="str">
        <f t="shared" si="3"/>
        <v>주의</v>
      </c>
    </row>
    <row r="201" spans="1:6">
      <c r="A201" s="2">
        <v>199</v>
      </c>
      <c r="B201">
        <v>2021</v>
      </c>
      <c r="C201" t="s">
        <v>15</v>
      </c>
      <c r="D201" t="s">
        <v>8</v>
      </c>
      <c r="E201" s="1">
        <v>5.9636231179488047E-2</v>
      </c>
      <c r="F201" s="3" t="str">
        <f t="shared" si="3"/>
        <v>가능성있음</v>
      </c>
    </row>
    <row r="202" spans="1:6">
      <c r="A202" s="2">
        <v>200</v>
      </c>
      <c r="B202">
        <v>2021</v>
      </c>
      <c r="C202" t="s">
        <v>15</v>
      </c>
      <c r="D202" t="s">
        <v>9</v>
      </c>
      <c r="E202" s="1">
        <v>1.2103638118429219E-2</v>
      </c>
      <c r="F202" s="3" t="str">
        <f t="shared" si="3"/>
        <v>가능성있음</v>
      </c>
    </row>
    <row r="203" spans="1:6">
      <c r="A203" s="2">
        <v>201</v>
      </c>
      <c r="B203">
        <v>2021</v>
      </c>
      <c r="C203" t="s">
        <v>15</v>
      </c>
      <c r="D203" t="s">
        <v>10</v>
      </c>
      <c r="E203" s="1">
        <v>9.4577598804550644E-3</v>
      </c>
      <c r="F203" s="3" t="str">
        <f t="shared" si="3"/>
        <v>가능성있음</v>
      </c>
    </row>
    <row r="204" spans="1:6">
      <c r="A204" s="2">
        <v>202</v>
      </c>
      <c r="B204">
        <v>2021</v>
      </c>
      <c r="C204" t="s">
        <v>15</v>
      </c>
      <c r="D204" t="s">
        <v>11</v>
      </c>
      <c r="E204" s="1">
        <v>8.611652476441644E-3</v>
      </c>
      <c r="F204" s="3" t="str">
        <f t="shared" si="3"/>
        <v>가능성있음</v>
      </c>
    </row>
    <row r="205" spans="1:6">
      <c r="A205" s="2">
        <v>203</v>
      </c>
      <c r="B205">
        <v>2021</v>
      </c>
      <c r="C205" t="s">
        <v>15</v>
      </c>
      <c r="D205" t="s">
        <v>12</v>
      </c>
      <c r="E205" s="1">
        <v>1.062653536227021E-2</v>
      </c>
      <c r="F205" s="3" t="str">
        <f t="shared" si="3"/>
        <v>가능성있음</v>
      </c>
    </row>
    <row r="206" spans="1:6">
      <c r="A206" s="2">
        <v>204</v>
      </c>
      <c r="B206">
        <v>2021</v>
      </c>
      <c r="C206" t="s">
        <v>16</v>
      </c>
      <c r="D206" t="s">
        <v>7</v>
      </c>
      <c r="E206" s="1">
        <v>0.67723010249372217</v>
      </c>
      <c r="F206" s="3" t="str">
        <f t="shared" si="3"/>
        <v>주의</v>
      </c>
    </row>
    <row r="207" spans="1:6">
      <c r="A207" s="2">
        <v>205</v>
      </c>
      <c r="B207">
        <v>2021</v>
      </c>
      <c r="C207" t="s">
        <v>16</v>
      </c>
      <c r="D207" t="s">
        <v>8</v>
      </c>
      <c r="E207" s="1">
        <v>0.1028809240066484</v>
      </c>
      <c r="F207" s="3" t="str">
        <f t="shared" si="3"/>
        <v>가능성있음</v>
      </c>
    </row>
    <row r="208" spans="1:6">
      <c r="A208" s="2">
        <v>206</v>
      </c>
      <c r="B208">
        <v>2021</v>
      </c>
      <c r="C208" t="s">
        <v>16</v>
      </c>
      <c r="D208" t="s">
        <v>9</v>
      </c>
      <c r="E208" s="1">
        <v>5.5348330945589559E-2</v>
      </c>
      <c r="F208" s="3" t="str">
        <f t="shared" si="3"/>
        <v>가능성있음</v>
      </c>
    </row>
    <row r="209" spans="1:6">
      <c r="A209" s="2">
        <v>207</v>
      </c>
      <c r="B209">
        <v>2021</v>
      </c>
      <c r="C209" t="s">
        <v>16</v>
      </c>
      <c r="D209" t="s">
        <v>10</v>
      </c>
      <c r="E209" s="1">
        <v>5.2702452707615401E-2</v>
      </c>
      <c r="F209" s="3" t="str">
        <f t="shared" si="3"/>
        <v>가능성있음</v>
      </c>
    </row>
    <row r="210" spans="1:6">
      <c r="A210" s="2">
        <v>208</v>
      </c>
      <c r="B210">
        <v>2021</v>
      </c>
      <c r="C210" t="s">
        <v>16</v>
      </c>
      <c r="D210" t="s">
        <v>11</v>
      </c>
      <c r="E210" s="1">
        <v>5.1856345303601982E-2</v>
      </c>
      <c r="F210" s="3" t="str">
        <f t="shared" si="3"/>
        <v>가능성있음</v>
      </c>
    </row>
    <row r="211" spans="1:6">
      <c r="A211" s="2">
        <v>209</v>
      </c>
      <c r="B211">
        <v>2021</v>
      </c>
      <c r="C211" t="s">
        <v>16</v>
      </c>
      <c r="D211" t="s">
        <v>12</v>
      </c>
      <c r="E211" s="1">
        <v>5.3871228189430527E-2</v>
      </c>
      <c r="F211" s="3" t="str">
        <f t="shared" si="3"/>
        <v>가능성있음</v>
      </c>
    </row>
    <row r="212" spans="1:6">
      <c r="A212" s="2">
        <v>210</v>
      </c>
      <c r="B212">
        <v>2021</v>
      </c>
      <c r="C212" t="s">
        <v>17</v>
      </c>
      <c r="D212" t="s">
        <v>7</v>
      </c>
      <c r="E212" s="1">
        <v>0.62743166248632232</v>
      </c>
      <c r="F212" s="3" t="str">
        <f t="shared" si="3"/>
        <v>주의</v>
      </c>
    </row>
    <row r="213" spans="1:6">
      <c r="A213" s="2">
        <v>211</v>
      </c>
      <c r="B213">
        <v>2021</v>
      </c>
      <c r="C213" t="s">
        <v>17</v>
      </c>
      <c r="D213" t="s">
        <v>8</v>
      </c>
      <c r="E213" s="1">
        <v>5.3082483999248538E-2</v>
      </c>
      <c r="F213" s="3" t="str">
        <f t="shared" si="3"/>
        <v>가능성있음</v>
      </c>
    </row>
    <row r="214" spans="1:6">
      <c r="A214" s="2">
        <v>212</v>
      </c>
      <c r="B214">
        <v>2021</v>
      </c>
      <c r="C214" t="s">
        <v>17</v>
      </c>
      <c r="D214" t="s">
        <v>9</v>
      </c>
      <c r="E214" s="1">
        <v>5.5498909381897022E-3</v>
      </c>
      <c r="F214" s="3" t="str">
        <f t="shared" si="3"/>
        <v>가능성있음</v>
      </c>
    </row>
    <row r="215" spans="1:6">
      <c r="A215" s="2">
        <v>213</v>
      </c>
      <c r="B215">
        <v>2021</v>
      </c>
      <c r="C215" t="s">
        <v>17</v>
      </c>
      <c r="D215" t="s">
        <v>10</v>
      </c>
      <c r="E215" s="1">
        <v>2.9040127002155419E-3</v>
      </c>
      <c r="F215" s="3" t="str">
        <f t="shared" si="3"/>
        <v>가능성있음</v>
      </c>
    </row>
    <row r="216" spans="1:6">
      <c r="A216" s="2">
        <v>214</v>
      </c>
      <c r="B216">
        <v>2021</v>
      </c>
      <c r="C216" t="s">
        <v>17</v>
      </c>
      <c r="D216" t="s">
        <v>11</v>
      </c>
      <c r="E216" s="1">
        <v>2.0579052962021241E-3</v>
      </c>
      <c r="F216" s="3" t="str">
        <f t="shared" si="3"/>
        <v>가능성있음</v>
      </c>
    </row>
    <row r="217" spans="1:6">
      <c r="A217" s="2">
        <v>215</v>
      </c>
      <c r="B217">
        <v>2021</v>
      </c>
      <c r="C217" t="s">
        <v>17</v>
      </c>
      <c r="D217" t="s">
        <v>12</v>
      </c>
      <c r="E217" s="1">
        <v>4.0727881820306856E-3</v>
      </c>
      <c r="F217" s="3" t="str">
        <f t="shared" si="3"/>
        <v>가능성있음</v>
      </c>
    </row>
    <row r="218" spans="1:6">
      <c r="A218" s="2">
        <v>216</v>
      </c>
      <c r="B218">
        <v>2021</v>
      </c>
      <c r="C218" t="s">
        <v>18</v>
      </c>
      <c r="D218" t="s">
        <v>7</v>
      </c>
      <c r="E218" s="1">
        <v>0.63849559235405706</v>
      </c>
      <c r="F218" s="3" t="str">
        <f t="shared" si="3"/>
        <v>주의</v>
      </c>
    </row>
    <row r="219" spans="1:6">
      <c r="A219" s="2">
        <v>217</v>
      </c>
      <c r="B219">
        <v>2021</v>
      </c>
      <c r="C219" t="s">
        <v>18</v>
      </c>
      <c r="D219" t="s">
        <v>8</v>
      </c>
      <c r="E219" s="1">
        <v>6.4146413866983304E-2</v>
      </c>
      <c r="F219" s="3" t="str">
        <f t="shared" si="3"/>
        <v>가능성있음</v>
      </c>
    </row>
    <row r="220" spans="1:6">
      <c r="A220" s="2">
        <v>218</v>
      </c>
      <c r="B220">
        <v>2021</v>
      </c>
      <c r="C220" t="s">
        <v>18</v>
      </c>
      <c r="D220" t="s">
        <v>9</v>
      </c>
      <c r="E220" s="1">
        <v>1.6613820805924471E-2</v>
      </c>
      <c r="F220" s="3" t="str">
        <f t="shared" si="3"/>
        <v>가능성있음</v>
      </c>
    </row>
    <row r="221" spans="1:6">
      <c r="A221" s="2">
        <v>219</v>
      </c>
      <c r="B221">
        <v>2021</v>
      </c>
      <c r="C221" t="s">
        <v>18</v>
      </c>
      <c r="D221" t="s">
        <v>10</v>
      </c>
      <c r="E221" s="1">
        <v>1.3967942567950311E-2</v>
      </c>
      <c r="F221" s="3" t="str">
        <f t="shared" si="3"/>
        <v>가능성있음</v>
      </c>
    </row>
    <row r="222" spans="1:6">
      <c r="A222" s="2">
        <v>220</v>
      </c>
      <c r="B222">
        <v>2021</v>
      </c>
      <c r="C222" t="s">
        <v>18</v>
      </c>
      <c r="D222" t="s">
        <v>11</v>
      </c>
      <c r="E222" s="1">
        <v>1.312183516393689E-2</v>
      </c>
      <c r="F222" s="3" t="str">
        <f t="shared" si="3"/>
        <v>가능성있음</v>
      </c>
    </row>
    <row r="223" spans="1:6">
      <c r="A223" s="2">
        <v>221</v>
      </c>
      <c r="B223">
        <v>2021</v>
      </c>
      <c r="C223" t="s">
        <v>18</v>
      </c>
      <c r="D223" t="s">
        <v>12</v>
      </c>
      <c r="E223" s="1">
        <v>1.5136718049765451E-2</v>
      </c>
      <c r="F223" s="3" t="str">
        <f t="shared" si="3"/>
        <v>가능성있음</v>
      </c>
    </row>
    <row r="224" spans="1:6">
      <c r="A224" s="2">
        <v>222</v>
      </c>
      <c r="B224">
        <v>2021</v>
      </c>
      <c r="C224" t="s">
        <v>19</v>
      </c>
      <c r="D224" t="s">
        <v>7</v>
      </c>
      <c r="E224" s="1">
        <v>0.63151879147181089</v>
      </c>
      <c r="F224" s="3" t="str">
        <f t="shared" si="3"/>
        <v>주의</v>
      </c>
    </row>
    <row r="225" spans="1:6">
      <c r="A225" s="2">
        <v>223</v>
      </c>
      <c r="B225">
        <v>2021</v>
      </c>
      <c r="C225" t="s">
        <v>19</v>
      </c>
      <c r="D225" t="s">
        <v>8</v>
      </c>
      <c r="E225" s="1">
        <v>5.7169612984737078E-2</v>
      </c>
      <c r="F225" s="3" t="str">
        <f t="shared" si="3"/>
        <v>가능성있음</v>
      </c>
    </row>
    <row r="226" spans="1:6">
      <c r="A226" s="2">
        <v>224</v>
      </c>
      <c r="B226">
        <v>2021</v>
      </c>
      <c r="C226" t="s">
        <v>19</v>
      </c>
      <c r="D226" t="s">
        <v>9</v>
      </c>
      <c r="E226" s="1">
        <v>9.6370199236782451E-3</v>
      </c>
      <c r="F226" s="3" t="str">
        <f t="shared" si="3"/>
        <v>가능성있음</v>
      </c>
    </row>
    <row r="227" spans="1:6">
      <c r="A227" s="2">
        <v>225</v>
      </c>
      <c r="B227">
        <v>2021</v>
      </c>
      <c r="C227" t="s">
        <v>19</v>
      </c>
      <c r="D227" t="s">
        <v>10</v>
      </c>
      <c r="E227" s="1">
        <v>6.9911416857040823E-3</v>
      </c>
      <c r="F227" s="3" t="str">
        <f t="shared" si="3"/>
        <v>가능성있음</v>
      </c>
    </row>
    <row r="228" spans="1:6">
      <c r="A228" s="2">
        <v>226</v>
      </c>
      <c r="B228">
        <v>2021</v>
      </c>
      <c r="C228" t="s">
        <v>19</v>
      </c>
      <c r="D228" t="s">
        <v>11</v>
      </c>
      <c r="E228" s="1">
        <v>6.1450342816906636E-3</v>
      </c>
      <c r="F228" s="3" t="str">
        <f t="shared" si="3"/>
        <v>가능성있음</v>
      </c>
    </row>
    <row r="229" spans="1:6">
      <c r="A229" s="2">
        <v>227</v>
      </c>
      <c r="B229">
        <v>2021</v>
      </c>
      <c r="C229" t="s">
        <v>19</v>
      </c>
      <c r="D229" t="s">
        <v>12</v>
      </c>
      <c r="E229" s="1">
        <v>8.1599171675192251E-3</v>
      </c>
      <c r="F229" s="3" t="str">
        <f t="shared" si="3"/>
        <v>가능성있음</v>
      </c>
    </row>
    <row r="230" spans="1:6">
      <c r="A230" s="2">
        <v>228</v>
      </c>
      <c r="B230">
        <v>2021</v>
      </c>
      <c r="C230" t="s">
        <v>20</v>
      </c>
      <c r="D230" t="s">
        <v>7</v>
      </c>
      <c r="E230" s="1">
        <v>0.64573052769854478</v>
      </c>
      <c r="F230" s="3" t="str">
        <f t="shared" si="3"/>
        <v>주의</v>
      </c>
    </row>
    <row r="231" spans="1:6">
      <c r="A231" s="2">
        <v>229</v>
      </c>
      <c r="B231">
        <v>2021</v>
      </c>
      <c r="C231" t="s">
        <v>20</v>
      </c>
      <c r="D231" t="s">
        <v>8</v>
      </c>
      <c r="E231" s="1">
        <v>7.1381349211470907E-2</v>
      </c>
      <c r="F231" s="3" t="str">
        <f t="shared" si="3"/>
        <v>가능성있음</v>
      </c>
    </row>
    <row r="232" spans="1:6">
      <c r="A232" s="2">
        <v>230</v>
      </c>
      <c r="B232">
        <v>2021</v>
      </c>
      <c r="C232" t="s">
        <v>20</v>
      </c>
      <c r="D232" t="s">
        <v>9</v>
      </c>
      <c r="E232" s="1">
        <v>2.3848756150412081E-2</v>
      </c>
      <c r="F232" s="3" t="str">
        <f t="shared" si="3"/>
        <v>가능성있음</v>
      </c>
    </row>
    <row r="233" spans="1:6">
      <c r="A233" s="2">
        <v>231</v>
      </c>
      <c r="B233">
        <v>2021</v>
      </c>
      <c r="C233" t="s">
        <v>20</v>
      </c>
      <c r="D233" t="s">
        <v>10</v>
      </c>
      <c r="E233" s="1">
        <v>2.1202877912437919E-2</v>
      </c>
      <c r="F233" s="3" t="str">
        <f t="shared" si="3"/>
        <v>가능성있음</v>
      </c>
    </row>
    <row r="234" spans="1:6">
      <c r="A234" s="2">
        <v>232</v>
      </c>
      <c r="B234">
        <v>2021</v>
      </c>
      <c r="C234" t="s">
        <v>20</v>
      </c>
      <c r="D234" t="s">
        <v>11</v>
      </c>
      <c r="E234" s="1">
        <v>2.03567705084245E-2</v>
      </c>
      <c r="F234" s="3" t="str">
        <f t="shared" si="3"/>
        <v>가능성있음</v>
      </c>
    </row>
    <row r="235" spans="1:6">
      <c r="A235" s="2">
        <v>233</v>
      </c>
      <c r="B235">
        <v>2021</v>
      </c>
      <c r="C235" t="s">
        <v>20</v>
      </c>
      <c r="D235" t="s">
        <v>12</v>
      </c>
      <c r="E235" s="1">
        <v>2.2371653394253069E-2</v>
      </c>
      <c r="F235" s="3" t="str">
        <f t="shared" si="3"/>
        <v>가능성있음</v>
      </c>
    </row>
    <row r="236" spans="1:6">
      <c r="A236" s="2">
        <v>234</v>
      </c>
      <c r="B236">
        <v>2021</v>
      </c>
      <c r="C236" t="s">
        <v>21</v>
      </c>
      <c r="D236" t="s">
        <v>7</v>
      </c>
      <c r="E236" s="1">
        <v>0.80858469176594083</v>
      </c>
      <c r="F236" s="3" t="str">
        <f t="shared" si="3"/>
        <v>조치필요</v>
      </c>
    </row>
    <row r="237" spans="1:6">
      <c r="A237" s="2">
        <v>235</v>
      </c>
      <c r="B237">
        <v>2021</v>
      </c>
      <c r="C237" t="s">
        <v>21</v>
      </c>
      <c r="D237" t="s">
        <v>8</v>
      </c>
      <c r="E237" s="1">
        <v>0.23423551327886699</v>
      </c>
      <c r="F237" s="3" t="str">
        <f t="shared" si="3"/>
        <v>주의</v>
      </c>
    </row>
    <row r="238" spans="1:6">
      <c r="A238" s="2">
        <v>236</v>
      </c>
      <c r="B238">
        <v>2021</v>
      </c>
      <c r="C238" t="s">
        <v>21</v>
      </c>
      <c r="D238" t="s">
        <v>9</v>
      </c>
      <c r="E238" s="1">
        <v>0.1867029202178081</v>
      </c>
      <c r="F238" s="3" t="str">
        <f t="shared" si="3"/>
        <v>가능성있음</v>
      </c>
    </row>
    <row r="239" spans="1:6">
      <c r="A239" s="2">
        <v>237</v>
      </c>
      <c r="B239">
        <v>2021</v>
      </c>
      <c r="C239" t="s">
        <v>21</v>
      </c>
      <c r="D239" t="s">
        <v>10</v>
      </c>
      <c r="E239" s="1">
        <v>0.18405704197983391</v>
      </c>
      <c r="F239" s="3" t="str">
        <f t="shared" si="3"/>
        <v>가능성있음</v>
      </c>
    </row>
    <row r="240" spans="1:6">
      <c r="A240" s="2">
        <v>238</v>
      </c>
      <c r="B240">
        <v>2021</v>
      </c>
      <c r="C240" t="s">
        <v>21</v>
      </c>
      <c r="D240" t="s">
        <v>11</v>
      </c>
      <c r="E240" s="1">
        <v>0.18321093457582049</v>
      </c>
      <c r="F240" s="3" t="str">
        <f t="shared" si="3"/>
        <v>가능성있음</v>
      </c>
    </row>
    <row r="241" spans="1:6">
      <c r="A241" s="2">
        <v>239</v>
      </c>
      <c r="B241">
        <v>2021</v>
      </c>
      <c r="C241" t="s">
        <v>21</v>
      </c>
      <c r="D241" t="s">
        <v>12</v>
      </c>
      <c r="E241" s="1">
        <v>0.18522581746164909</v>
      </c>
      <c r="F241" s="3" t="str">
        <f t="shared" si="3"/>
        <v>가능성있음</v>
      </c>
    </row>
    <row r="242" spans="1:6">
      <c r="A242" s="2">
        <v>240</v>
      </c>
      <c r="B242">
        <v>2022</v>
      </c>
      <c r="C242" t="s">
        <v>6</v>
      </c>
      <c r="D242" t="s">
        <v>7</v>
      </c>
      <c r="E242" s="1">
        <v>0.62695841597221313</v>
      </c>
      <c r="F242" s="3" t="str">
        <f t="shared" si="3"/>
        <v>주의</v>
      </c>
    </row>
    <row r="243" spans="1:6">
      <c r="A243" s="2">
        <v>241</v>
      </c>
      <c r="B243">
        <v>2022</v>
      </c>
      <c r="C243" t="s">
        <v>6</v>
      </c>
      <c r="D243" t="s">
        <v>8</v>
      </c>
      <c r="E243" s="1">
        <v>7.8666477368061011E-2</v>
      </c>
      <c r="F243" s="3" t="str">
        <f t="shared" si="3"/>
        <v>가능성있음</v>
      </c>
    </row>
    <row r="244" spans="1:6">
      <c r="A244" s="2">
        <v>242</v>
      </c>
      <c r="B244">
        <v>2022</v>
      </c>
      <c r="C244" t="s">
        <v>6</v>
      </c>
      <c r="D244" t="s">
        <v>9</v>
      </c>
      <c r="E244" s="1">
        <v>1.4412507475143801E-2</v>
      </c>
      <c r="F244" s="3" t="str">
        <f t="shared" si="3"/>
        <v>가능성있음</v>
      </c>
    </row>
    <row r="245" spans="1:6">
      <c r="A245" s="2">
        <v>243</v>
      </c>
      <c r="B245">
        <v>2022</v>
      </c>
      <c r="C245" t="s">
        <v>6</v>
      </c>
      <c r="D245" t="s">
        <v>10</v>
      </c>
      <c r="E245" s="1">
        <v>1.7990537937878508E-2</v>
      </c>
      <c r="F245" s="3" t="str">
        <f t="shared" si="3"/>
        <v>가능성있음</v>
      </c>
    </row>
    <row r="246" spans="1:6">
      <c r="A246" s="2">
        <v>244</v>
      </c>
      <c r="B246">
        <v>2022</v>
      </c>
      <c r="C246" t="s">
        <v>6</v>
      </c>
      <c r="D246" t="s">
        <v>11</v>
      </c>
      <c r="E246" s="1">
        <v>1.430495144920989E-2</v>
      </c>
      <c r="F246" s="3" t="str">
        <f t="shared" si="3"/>
        <v>가능성있음</v>
      </c>
    </row>
    <row r="247" spans="1:6">
      <c r="A247" s="2">
        <v>245</v>
      </c>
      <c r="B247">
        <v>2022</v>
      </c>
      <c r="C247" t="s">
        <v>6</v>
      </c>
      <c r="D247" t="s">
        <v>12</v>
      </c>
      <c r="E247" s="1">
        <v>1.8306035613951301E-2</v>
      </c>
      <c r="F247" s="3" t="str">
        <f t="shared" si="3"/>
        <v>가능성있음</v>
      </c>
    </row>
    <row r="248" spans="1:6">
      <c r="A248" s="2">
        <v>246</v>
      </c>
      <c r="B248">
        <v>2022</v>
      </c>
      <c r="C248" t="s">
        <v>13</v>
      </c>
      <c r="D248" t="s">
        <v>7</v>
      </c>
      <c r="E248" s="1">
        <v>0.86100032840439888</v>
      </c>
      <c r="F248" s="3" t="str">
        <f t="shared" si="3"/>
        <v>조치필요</v>
      </c>
    </row>
    <row r="249" spans="1:6">
      <c r="A249" s="2">
        <v>247</v>
      </c>
      <c r="B249">
        <v>2022</v>
      </c>
      <c r="C249" t="s">
        <v>13</v>
      </c>
      <c r="D249" t="s">
        <v>8</v>
      </c>
      <c r="E249" s="1">
        <v>0.3127083898002469</v>
      </c>
      <c r="F249" s="3" t="str">
        <f t="shared" si="3"/>
        <v>주의</v>
      </c>
    </row>
    <row r="250" spans="1:6">
      <c r="A250" s="2">
        <v>248</v>
      </c>
      <c r="B250">
        <v>2022</v>
      </c>
      <c r="C250" t="s">
        <v>13</v>
      </c>
      <c r="D250" t="s">
        <v>9</v>
      </c>
      <c r="E250" s="1">
        <v>0.24845441990732969</v>
      </c>
      <c r="F250" s="3" t="str">
        <f t="shared" si="3"/>
        <v>주의</v>
      </c>
    </row>
    <row r="251" spans="1:6">
      <c r="A251" s="2">
        <v>249</v>
      </c>
      <c r="B251">
        <v>2022</v>
      </c>
      <c r="C251" t="s">
        <v>13</v>
      </c>
      <c r="D251" t="s">
        <v>10</v>
      </c>
      <c r="E251" s="1">
        <v>0.25203245037006428</v>
      </c>
      <c r="F251" s="3" t="str">
        <f t="shared" si="3"/>
        <v>주의</v>
      </c>
    </row>
    <row r="252" spans="1:6">
      <c r="A252" s="2">
        <v>250</v>
      </c>
      <c r="B252">
        <v>2022</v>
      </c>
      <c r="C252" t="s">
        <v>13</v>
      </c>
      <c r="D252" t="s">
        <v>11</v>
      </c>
      <c r="E252" s="1">
        <v>0.24834686388139579</v>
      </c>
      <c r="F252" s="3" t="str">
        <f t="shared" si="3"/>
        <v>주의</v>
      </c>
    </row>
    <row r="253" spans="1:6">
      <c r="A253" s="2">
        <v>251</v>
      </c>
      <c r="B253">
        <v>2022</v>
      </c>
      <c r="C253" t="s">
        <v>13</v>
      </c>
      <c r="D253" t="s">
        <v>12</v>
      </c>
      <c r="E253" s="1">
        <v>0.25234794804613719</v>
      </c>
      <c r="F253" s="3" t="str">
        <f t="shared" si="3"/>
        <v>주의</v>
      </c>
    </row>
    <row r="254" spans="1:6">
      <c r="A254" s="2">
        <v>252</v>
      </c>
      <c r="B254">
        <v>2022</v>
      </c>
      <c r="C254" t="s">
        <v>14</v>
      </c>
      <c r="D254" t="s">
        <v>7</v>
      </c>
      <c r="E254" s="1">
        <v>0.81095809473821567</v>
      </c>
      <c r="F254" s="3" t="str">
        <f t="shared" si="3"/>
        <v>조치필요</v>
      </c>
    </row>
    <row r="255" spans="1:6">
      <c r="A255" s="2">
        <v>253</v>
      </c>
      <c r="B255">
        <v>2022</v>
      </c>
      <c r="C255" t="s">
        <v>14</v>
      </c>
      <c r="D255" t="s">
        <v>8</v>
      </c>
      <c r="E255" s="1">
        <v>0.26266615613406358</v>
      </c>
      <c r="F255" s="3" t="str">
        <f t="shared" si="3"/>
        <v>주의</v>
      </c>
    </row>
    <row r="256" spans="1:6">
      <c r="A256" s="2">
        <v>254</v>
      </c>
      <c r="B256">
        <v>2022</v>
      </c>
      <c r="C256" t="s">
        <v>14</v>
      </c>
      <c r="D256" t="s">
        <v>9</v>
      </c>
      <c r="E256" s="1">
        <v>0.19841218624114629</v>
      </c>
      <c r="F256" s="3" t="str">
        <f t="shared" si="3"/>
        <v>가능성있음</v>
      </c>
    </row>
    <row r="257" spans="1:6">
      <c r="A257" s="2">
        <v>255</v>
      </c>
      <c r="B257">
        <v>2022</v>
      </c>
      <c r="C257" t="s">
        <v>14</v>
      </c>
      <c r="D257" t="s">
        <v>10</v>
      </c>
      <c r="E257" s="1">
        <v>0.20199021670388101</v>
      </c>
      <c r="F257" s="3" t="str">
        <f t="shared" si="3"/>
        <v>주의</v>
      </c>
    </row>
    <row r="258" spans="1:6">
      <c r="A258" s="2">
        <v>256</v>
      </c>
      <c r="B258">
        <v>2022</v>
      </c>
      <c r="C258" t="s">
        <v>14</v>
      </c>
      <c r="D258" t="s">
        <v>11</v>
      </c>
      <c r="E258" s="1">
        <v>0.19830463021521241</v>
      </c>
      <c r="F258" s="3" t="str">
        <f t="shared" ref="F258:F321" si="4">IF(E258&gt;=0.8, "조치필요", IF(E258&gt;=0.2, "주의", IF(E258&gt;=0, "가능성있음", "")))</f>
        <v>가능성있음</v>
      </c>
    </row>
    <row r="259" spans="1:6">
      <c r="A259" s="2">
        <v>257</v>
      </c>
      <c r="B259">
        <v>2022</v>
      </c>
      <c r="C259" t="s">
        <v>14</v>
      </c>
      <c r="D259" t="s">
        <v>12</v>
      </c>
      <c r="E259" s="1">
        <v>0.20230571437995379</v>
      </c>
      <c r="F259" s="3" t="str">
        <f t="shared" si="4"/>
        <v>주의</v>
      </c>
    </row>
    <row r="260" spans="1:6">
      <c r="A260" s="2">
        <v>258</v>
      </c>
      <c r="B260">
        <v>2022</v>
      </c>
      <c r="C260" t="s">
        <v>15</v>
      </c>
      <c r="D260" t="s">
        <v>7</v>
      </c>
      <c r="E260" s="1">
        <v>0.62092810811818533</v>
      </c>
      <c r="F260" s="3" t="str">
        <f t="shared" si="4"/>
        <v>주의</v>
      </c>
    </row>
    <row r="261" spans="1:6">
      <c r="A261" s="2">
        <v>259</v>
      </c>
      <c r="B261">
        <v>2022</v>
      </c>
      <c r="C261" t="s">
        <v>15</v>
      </c>
      <c r="D261" t="s">
        <v>8</v>
      </c>
      <c r="E261" s="1">
        <v>7.2636169514033191E-2</v>
      </c>
      <c r="F261" s="3" t="str">
        <f t="shared" si="4"/>
        <v>가능성있음</v>
      </c>
    </row>
    <row r="262" spans="1:6">
      <c r="A262" s="2">
        <v>260</v>
      </c>
      <c r="B262">
        <v>2022</v>
      </c>
      <c r="C262" t="s">
        <v>15</v>
      </c>
      <c r="D262" t="s">
        <v>9</v>
      </c>
      <c r="E262" s="1">
        <v>8.3821996211159711E-3</v>
      </c>
      <c r="F262" s="3" t="str">
        <f t="shared" si="4"/>
        <v>가능성있음</v>
      </c>
    </row>
    <row r="263" spans="1:6">
      <c r="A263" s="2">
        <v>261</v>
      </c>
      <c r="B263">
        <v>2022</v>
      </c>
      <c r="C263" t="s">
        <v>15</v>
      </c>
      <c r="D263" t="s">
        <v>10</v>
      </c>
      <c r="E263" s="1">
        <v>1.196023008385068E-2</v>
      </c>
      <c r="F263" s="3" t="str">
        <f t="shared" si="4"/>
        <v>가능성있음</v>
      </c>
    </row>
    <row r="264" spans="1:6">
      <c r="A264" s="2">
        <v>262</v>
      </c>
      <c r="B264">
        <v>2022</v>
      </c>
      <c r="C264" t="s">
        <v>15</v>
      </c>
      <c r="D264" t="s">
        <v>11</v>
      </c>
      <c r="E264" s="1">
        <v>8.2746435951820616E-3</v>
      </c>
      <c r="F264" s="3" t="str">
        <f t="shared" si="4"/>
        <v>가능성있음</v>
      </c>
    </row>
    <row r="265" spans="1:6">
      <c r="A265" s="2">
        <v>263</v>
      </c>
      <c r="B265">
        <v>2022</v>
      </c>
      <c r="C265" t="s">
        <v>15</v>
      </c>
      <c r="D265" t="s">
        <v>12</v>
      </c>
      <c r="E265" s="1">
        <v>1.227572775992347E-2</v>
      </c>
      <c r="F265" s="3" t="str">
        <f t="shared" si="4"/>
        <v>가능성있음</v>
      </c>
    </row>
    <row r="266" spans="1:6">
      <c r="A266" s="2">
        <v>264</v>
      </c>
      <c r="B266">
        <v>2022</v>
      </c>
      <c r="C266" t="s">
        <v>16</v>
      </c>
      <c r="D266" t="s">
        <v>7</v>
      </c>
      <c r="E266" s="1">
        <v>0.67010989357689743</v>
      </c>
      <c r="F266" s="3" t="str">
        <f t="shared" si="4"/>
        <v>주의</v>
      </c>
    </row>
    <row r="267" spans="1:6">
      <c r="A267" s="2">
        <v>265</v>
      </c>
      <c r="B267">
        <v>2022</v>
      </c>
      <c r="C267" t="s">
        <v>16</v>
      </c>
      <c r="D267" t="s">
        <v>8</v>
      </c>
      <c r="E267" s="1">
        <v>0.12181795497274529</v>
      </c>
      <c r="F267" s="3" t="str">
        <f t="shared" si="4"/>
        <v>가능성있음</v>
      </c>
    </row>
    <row r="268" spans="1:6">
      <c r="A268" s="2">
        <v>266</v>
      </c>
      <c r="B268">
        <v>2022</v>
      </c>
      <c r="C268" t="s">
        <v>16</v>
      </c>
      <c r="D268" t="s">
        <v>9</v>
      </c>
      <c r="E268" s="1">
        <v>0.37761008598267698</v>
      </c>
      <c r="F268" s="3" t="str">
        <f t="shared" si="4"/>
        <v>주의</v>
      </c>
    </row>
    <row r="269" spans="1:6">
      <c r="A269" s="2">
        <v>267</v>
      </c>
      <c r="B269">
        <v>2022</v>
      </c>
      <c r="C269" t="s">
        <v>16</v>
      </c>
      <c r="D269" t="s">
        <v>10</v>
      </c>
      <c r="E269" s="1">
        <v>0.43238119958908799</v>
      </c>
      <c r="F269" s="3" t="str">
        <f t="shared" si="4"/>
        <v>주의</v>
      </c>
    </row>
    <row r="270" spans="1:6">
      <c r="A270" s="2">
        <v>268</v>
      </c>
      <c r="B270">
        <v>2022</v>
      </c>
      <c r="C270" t="s">
        <v>16</v>
      </c>
      <c r="D270" t="s">
        <v>11</v>
      </c>
      <c r="E270" s="1">
        <v>0.48715231319550001</v>
      </c>
      <c r="F270" s="3" t="str">
        <f t="shared" si="4"/>
        <v>주의</v>
      </c>
    </row>
    <row r="271" spans="1:6">
      <c r="A271" s="2">
        <v>269</v>
      </c>
      <c r="B271">
        <v>2022</v>
      </c>
      <c r="C271" t="s">
        <v>16</v>
      </c>
      <c r="D271" t="s">
        <v>12</v>
      </c>
      <c r="E271" s="1">
        <v>0.54192342680190997</v>
      </c>
      <c r="F271" s="3" t="str">
        <f t="shared" si="4"/>
        <v>주의</v>
      </c>
    </row>
    <row r="272" spans="1:6">
      <c r="A272" s="2">
        <v>270</v>
      </c>
      <c r="B272">
        <v>2022</v>
      </c>
      <c r="C272" t="s">
        <v>17</v>
      </c>
      <c r="D272" t="s">
        <v>7</v>
      </c>
      <c r="E272" s="1">
        <v>0.59669454040832004</v>
      </c>
      <c r="F272" s="3" t="str">
        <f t="shared" si="4"/>
        <v>주의</v>
      </c>
    </row>
    <row r="273" spans="1:6">
      <c r="A273" s="2">
        <v>271</v>
      </c>
      <c r="B273">
        <v>2022</v>
      </c>
      <c r="C273" t="s">
        <v>17</v>
      </c>
      <c r="D273" t="s">
        <v>8</v>
      </c>
      <c r="E273" s="1">
        <v>0.651465654014731</v>
      </c>
      <c r="F273" s="3" t="str">
        <f t="shared" si="4"/>
        <v>주의</v>
      </c>
    </row>
    <row r="274" spans="1:6">
      <c r="A274" s="2">
        <v>272</v>
      </c>
      <c r="B274">
        <v>2022</v>
      </c>
      <c r="C274" t="s">
        <v>17</v>
      </c>
      <c r="D274" t="s">
        <v>9</v>
      </c>
      <c r="E274" s="1">
        <v>0.70623676762114296</v>
      </c>
      <c r="F274" s="3" t="str">
        <f t="shared" si="4"/>
        <v>주의</v>
      </c>
    </row>
    <row r="275" spans="1:6">
      <c r="A275" s="2">
        <v>273</v>
      </c>
      <c r="B275">
        <v>2022</v>
      </c>
      <c r="C275" t="s">
        <v>17</v>
      </c>
      <c r="D275" t="s">
        <v>10</v>
      </c>
      <c r="E275" s="1">
        <v>0.76100788122755403</v>
      </c>
      <c r="F275" s="3" t="str">
        <f t="shared" si="4"/>
        <v>주의</v>
      </c>
    </row>
    <row r="276" spans="1:6">
      <c r="A276" s="2">
        <v>274</v>
      </c>
      <c r="B276">
        <v>2022</v>
      </c>
      <c r="C276" t="s">
        <v>17</v>
      </c>
      <c r="D276" t="s">
        <v>11</v>
      </c>
      <c r="E276" s="1">
        <v>0.81577899483396399</v>
      </c>
      <c r="F276" s="3" t="str">
        <f t="shared" si="4"/>
        <v>조치필요</v>
      </c>
    </row>
    <row r="277" spans="1:6">
      <c r="A277" s="2">
        <v>275</v>
      </c>
      <c r="B277">
        <v>2022</v>
      </c>
      <c r="C277" t="s">
        <v>17</v>
      </c>
      <c r="D277" t="s">
        <v>12</v>
      </c>
      <c r="E277" s="1">
        <v>0.87055010844037595</v>
      </c>
      <c r="F277" s="3" t="str">
        <f t="shared" si="4"/>
        <v>조치필요</v>
      </c>
    </row>
    <row r="278" spans="1:6">
      <c r="A278" s="2">
        <v>276</v>
      </c>
      <c r="B278">
        <v>2022</v>
      </c>
      <c r="C278" t="s">
        <v>18</v>
      </c>
      <c r="D278" t="s">
        <v>7</v>
      </c>
      <c r="E278" s="1">
        <v>0.92532122204678702</v>
      </c>
      <c r="F278" s="3" t="str">
        <f t="shared" si="4"/>
        <v>조치필요</v>
      </c>
    </row>
    <row r="279" spans="1:6">
      <c r="A279" s="2">
        <v>277</v>
      </c>
      <c r="B279">
        <v>2022</v>
      </c>
      <c r="C279" t="s">
        <v>18</v>
      </c>
      <c r="D279" t="s">
        <v>8</v>
      </c>
      <c r="E279" s="1">
        <v>0.98009233565319698</v>
      </c>
      <c r="F279" s="3" t="str">
        <f t="shared" si="4"/>
        <v>조치필요</v>
      </c>
    </row>
    <row r="280" spans="1:6">
      <c r="A280" s="2">
        <v>278</v>
      </c>
      <c r="B280">
        <v>2022</v>
      </c>
      <c r="C280" t="s">
        <v>18</v>
      </c>
      <c r="D280" t="s">
        <v>9</v>
      </c>
      <c r="E280" s="1">
        <v>1.03486344925961</v>
      </c>
      <c r="F280" s="3" t="str">
        <f t="shared" si="4"/>
        <v>조치필요</v>
      </c>
    </row>
    <row r="281" spans="1:6">
      <c r="A281" s="2">
        <v>279</v>
      </c>
      <c r="B281">
        <v>2022</v>
      </c>
      <c r="C281" t="s">
        <v>18</v>
      </c>
      <c r="D281" t="s">
        <v>10</v>
      </c>
      <c r="E281" s="1">
        <v>1.08963456286602</v>
      </c>
      <c r="F281" s="3" t="str">
        <f t="shared" si="4"/>
        <v>조치필요</v>
      </c>
    </row>
    <row r="282" spans="1:6">
      <c r="A282" s="2">
        <v>280</v>
      </c>
      <c r="B282">
        <v>2022</v>
      </c>
      <c r="C282" t="s">
        <v>18</v>
      </c>
      <c r="D282" t="s">
        <v>11</v>
      </c>
      <c r="E282" s="1">
        <v>1.14440567647243</v>
      </c>
      <c r="F282" s="3" t="str">
        <f t="shared" si="4"/>
        <v>조치필요</v>
      </c>
    </row>
    <row r="283" spans="1:6">
      <c r="A283" s="2">
        <v>281</v>
      </c>
      <c r="B283">
        <v>2022</v>
      </c>
      <c r="C283" t="s">
        <v>18</v>
      </c>
      <c r="D283" t="s">
        <v>12</v>
      </c>
      <c r="E283" s="1">
        <v>1.1991767900788399</v>
      </c>
      <c r="F283" s="3" t="str">
        <f t="shared" si="4"/>
        <v>조치필요</v>
      </c>
    </row>
    <row r="284" spans="1:6">
      <c r="A284" s="2">
        <v>282</v>
      </c>
      <c r="B284">
        <v>2022</v>
      </c>
      <c r="C284" t="s">
        <v>19</v>
      </c>
      <c r="D284" t="s">
        <v>7</v>
      </c>
      <c r="E284" s="1">
        <v>1.2539479036852501</v>
      </c>
      <c r="F284" s="3" t="str">
        <f t="shared" si="4"/>
        <v>조치필요</v>
      </c>
    </row>
    <row r="285" spans="1:6">
      <c r="A285" s="2">
        <v>283</v>
      </c>
      <c r="B285">
        <v>2022</v>
      </c>
      <c r="C285" t="s">
        <v>19</v>
      </c>
      <c r="D285" t="s">
        <v>8</v>
      </c>
      <c r="E285" s="1">
        <v>1.3087190172916601</v>
      </c>
      <c r="F285" s="3" t="str">
        <f t="shared" si="4"/>
        <v>조치필요</v>
      </c>
    </row>
    <row r="286" spans="1:6">
      <c r="A286" s="2">
        <v>284</v>
      </c>
      <c r="B286">
        <v>2022</v>
      </c>
      <c r="C286" t="s">
        <v>19</v>
      </c>
      <c r="D286" t="s">
        <v>9</v>
      </c>
      <c r="E286" s="1">
        <v>1.36349013089807</v>
      </c>
      <c r="F286" s="3" t="str">
        <f t="shared" si="4"/>
        <v>조치필요</v>
      </c>
    </row>
    <row r="287" spans="1:6">
      <c r="A287" s="2">
        <v>285</v>
      </c>
      <c r="B287">
        <v>2022</v>
      </c>
      <c r="C287" t="s">
        <v>19</v>
      </c>
      <c r="D287" t="s">
        <v>10</v>
      </c>
      <c r="E287" s="1">
        <v>1.41826124450448</v>
      </c>
      <c r="F287" s="3" t="str">
        <f t="shared" si="4"/>
        <v>조치필요</v>
      </c>
    </row>
    <row r="288" spans="1:6">
      <c r="A288" s="2">
        <v>286</v>
      </c>
      <c r="B288">
        <v>2022</v>
      </c>
      <c r="C288" t="s">
        <v>19</v>
      </c>
      <c r="D288" t="s">
        <v>11</v>
      </c>
      <c r="E288" s="1">
        <v>1.4730323581108899</v>
      </c>
      <c r="F288" s="3" t="str">
        <f t="shared" si="4"/>
        <v>조치필요</v>
      </c>
    </row>
    <row r="289" spans="1:6">
      <c r="A289" s="2">
        <v>287</v>
      </c>
      <c r="B289">
        <v>2022</v>
      </c>
      <c r="C289" t="s">
        <v>19</v>
      </c>
      <c r="D289" t="s">
        <v>12</v>
      </c>
      <c r="E289" s="1">
        <v>1.5278034717172999</v>
      </c>
      <c r="F289" s="3" t="str">
        <f t="shared" si="4"/>
        <v>조치필요</v>
      </c>
    </row>
    <row r="290" spans="1:6">
      <c r="A290" s="2">
        <v>288</v>
      </c>
      <c r="B290">
        <v>2022</v>
      </c>
      <c r="C290" t="s">
        <v>20</v>
      </c>
      <c r="D290" t="s">
        <v>7</v>
      </c>
      <c r="E290" s="1">
        <v>1.5825745853237101</v>
      </c>
      <c r="F290" s="3" t="str">
        <f t="shared" si="4"/>
        <v>조치필요</v>
      </c>
    </row>
    <row r="291" spans="1:6">
      <c r="A291" s="2">
        <v>289</v>
      </c>
      <c r="B291">
        <v>2022</v>
      </c>
      <c r="C291" t="s">
        <v>20</v>
      </c>
      <c r="D291" t="s">
        <v>8</v>
      </c>
      <c r="E291" s="1">
        <v>1.6373456989301201</v>
      </c>
      <c r="F291" s="3" t="str">
        <f t="shared" si="4"/>
        <v>조치필요</v>
      </c>
    </row>
    <row r="292" spans="1:6">
      <c r="A292" s="2">
        <v>290</v>
      </c>
      <c r="B292">
        <v>2022</v>
      </c>
      <c r="C292" t="s">
        <v>20</v>
      </c>
      <c r="D292" t="s">
        <v>9</v>
      </c>
      <c r="E292" s="1">
        <v>1.69211681253653</v>
      </c>
      <c r="F292" s="3" t="str">
        <f t="shared" si="4"/>
        <v>조치필요</v>
      </c>
    </row>
    <row r="293" spans="1:6">
      <c r="A293" s="2">
        <v>291</v>
      </c>
      <c r="B293">
        <v>2022</v>
      </c>
      <c r="C293" t="s">
        <v>20</v>
      </c>
      <c r="D293" t="s">
        <v>10</v>
      </c>
      <c r="E293" s="1">
        <v>1.74688792614295</v>
      </c>
      <c r="F293" s="3" t="str">
        <f t="shared" si="4"/>
        <v>조치필요</v>
      </c>
    </row>
    <row r="294" spans="1:6">
      <c r="A294" s="2">
        <v>292</v>
      </c>
      <c r="B294">
        <v>2022</v>
      </c>
      <c r="C294" t="s">
        <v>20</v>
      </c>
      <c r="D294" t="s">
        <v>11</v>
      </c>
      <c r="E294" s="1">
        <v>1.8016590397493599</v>
      </c>
      <c r="F294" s="3" t="str">
        <f t="shared" si="4"/>
        <v>조치필요</v>
      </c>
    </row>
    <row r="295" spans="1:6">
      <c r="A295" s="2">
        <v>293</v>
      </c>
      <c r="B295">
        <v>2022</v>
      </c>
      <c r="C295" t="s">
        <v>20</v>
      </c>
      <c r="D295" t="s">
        <v>12</v>
      </c>
      <c r="E295" s="1">
        <v>1.8564301533557701</v>
      </c>
      <c r="F295" s="3" t="str">
        <f t="shared" si="4"/>
        <v>조치필요</v>
      </c>
    </row>
    <row r="296" spans="1:6">
      <c r="A296" s="2">
        <v>294</v>
      </c>
      <c r="B296">
        <v>2022</v>
      </c>
      <c r="C296" t="s">
        <v>21</v>
      </c>
      <c r="D296" t="s">
        <v>7</v>
      </c>
      <c r="E296" s="1">
        <v>1.9112012669621801</v>
      </c>
      <c r="F296" s="3" t="str">
        <f t="shared" si="4"/>
        <v>조치필요</v>
      </c>
    </row>
    <row r="297" spans="1:6">
      <c r="A297" s="2">
        <v>295</v>
      </c>
      <c r="B297">
        <v>2022</v>
      </c>
      <c r="C297" t="s">
        <v>21</v>
      </c>
      <c r="D297" t="s">
        <v>8</v>
      </c>
      <c r="E297" s="1">
        <v>1.96597238056859</v>
      </c>
      <c r="F297" s="3" t="str">
        <f t="shared" si="4"/>
        <v>조치필요</v>
      </c>
    </row>
    <row r="298" spans="1:6">
      <c r="A298" s="2">
        <v>296</v>
      </c>
      <c r="B298">
        <v>2022</v>
      </c>
      <c r="C298" t="s">
        <v>21</v>
      </c>
      <c r="D298" t="s">
        <v>9</v>
      </c>
      <c r="E298" s="1">
        <v>2.020743494175</v>
      </c>
      <c r="F298" s="3" t="str">
        <f t="shared" si="4"/>
        <v>조치필요</v>
      </c>
    </row>
    <row r="299" spans="1:6">
      <c r="A299" s="2">
        <v>297</v>
      </c>
      <c r="B299">
        <v>2022</v>
      </c>
      <c r="C299" t="s">
        <v>21</v>
      </c>
      <c r="D299" t="s">
        <v>10</v>
      </c>
      <c r="E299" s="1">
        <v>2.0755146077814102</v>
      </c>
      <c r="F299" s="3" t="str">
        <f t="shared" si="4"/>
        <v>조치필요</v>
      </c>
    </row>
    <row r="300" spans="1:6">
      <c r="A300" s="2">
        <v>298</v>
      </c>
      <c r="B300">
        <v>2022</v>
      </c>
      <c r="C300" t="s">
        <v>21</v>
      </c>
      <c r="D300" t="s">
        <v>11</v>
      </c>
      <c r="E300" s="1">
        <v>2.1302857213878199</v>
      </c>
      <c r="F300" s="3" t="str">
        <f t="shared" si="4"/>
        <v>조치필요</v>
      </c>
    </row>
    <row r="301" spans="1:6">
      <c r="A301" s="2">
        <v>299</v>
      </c>
      <c r="B301">
        <v>2022</v>
      </c>
      <c r="C301" t="s">
        <v>21</v>
      </c>
      <c r="D301" t="s">
        <v>12</v>
      </c>
      <c r="E301" s="1">
        <v>2.1850568349942301</v>
      </c>
      <c r="F301" s="3" t="str">
        <f t="shared" si="4"/>
        <v>조치필요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1"/>
  <sheetViews>
    <sheetView topLeftCell="A76" workbookViewId="0">
      <selection activeCell="G29" sqref="G29"/>
    </sheetView>
  </sheetViews>
  <sheetFormatPr defaultRowHeight="16.5"/>
  <cols>
    <col min="2" max="3" width="9" style="27" customWidth="1"/>
    <col min="4" max="5" width="9.875" style="27" customWidth="1"/>
    <col min="6" max="8" width="9" style="27" customWidth="1"/>
  </cols>
  <sheetData>
    <row r="1" spans="1:9">
      <c r="A1" s="2" t="s">
        <v>0</v>
      </c>
      <c r="B1" s="26" t="s">
        <v>1</v>
      </c>
      <c r="C1" s="26" t="s">
        <v>2</v>
      </c>
      <c r="D1" s="26" t="s">
        <v>4</v>
      </c>
      <c r="E1" s="26" t="s">
        <v>23</v>
      </c>
      <c r="F1" s="26" t="s">
        <v>24</v>
      </c>
      <c r="G1" s="26" t="s">
        <v>25</v>
      </c>
      <c r="H1" s="26" t="s">
        <v>22</v>
      </c>
      <c r="I1" s="2"/>
    </row>
    <row r="2" spans="1:9">
      <c r="A2" s="24">
        <v>2018</v>
      </c>
      <c r="B2">
        <v>3.5830000000000001E-2</v>
      </c>
      <c r="C2">
        <v>0.73750000000000004</v>
      </c>
      <c r="D2" s="27">
        <f t="shared" ref="D2:D65" si="0">((B2*C2)/2)*100</f>
        <v>1.3212312500000001</v>
      </c>
      <c r="E2" s="27">
        <f t="shared" ref="E2:E65" si="1">(SQRT(B2*C2))*100</f>
        <v>16.255652862927409</v>
      </c>
      <c r="F2" s="27">
        <f t="shared" ref="F2:F65" si="2">(AVERAGE(B2:C2))*100</f>
        <v>38.666500000000006</v>
      </c>
      <c r="G2" s="27">
        <f t="shared" ref="G2:G65" si="3">SQRT((B2*C2)*100)</f>
        <v>1.6255652862927408</v>
      </c>
      <c r="H2" s="27">
        <v>0.5472737415586445</v>
      </c>
      <c r="I2" s="2"/>
    </row>
    <row r="3" spans="1:9">
      <c r="A3" s="24">
        <v>2018</v>
      </c>
      <c r="B3">
        <v>3.5830000000000001E-2</v>
      </c>
      <c r="C3">
        <v>6.071E-2</v>
      </c>
      <c r="D3" s="27">
        <f t="shared" si="0"/>
        <v>0.108761965</v>
      </c>
      <c r="E3" s="27">
        <f t="shared" si="1"/>
        <v>4.663946076017603</v>
      </c>
      <c r="F3" s="27">
        <f t="shared" si="2"/>
        <v>4.827</v>
      </c>
      <c r="G3" s="27">
        <f t="shared" si="3"/>
        <v>0.46639460760176032</v>
      </c>
      <c r="H3" s="27">
        <v>6.1991708147440663E-2</v>
      </c>
    </row>
    <row r="4" spans="1:9">
      <c r="A4" s="24">
        <v>2018</v>
      </c>
      <c r="B4">
        <v>3.5830000000000001E-2</v>
      </c>
      <c r="C4">
        <v>6.5500000000000003E-3</v>
      </c>
      <c r="D4" s="27">
        <f t="shared" si="0"/>
        <v>1.1734325E-2</v>
      </c>
      <c r="E4" s="27">
        <f t="shared" si="1"/>
        <v>1.5319481061707019</v>
      </c>
      <c r="F4" s="27">
        <f t="shared" si="2"/>
        <v>2.1190000000000002</v>
      </c>
      <c r="G4" s="27">
        <f t="shared" si="3"/>
        <v>0.15319481061707019</v>
      </c>
      <c r="H4" s="27">
        <v>2.3155378303224821E-2</v>
      </c>
    </row>
    <row r="5" spans="1:9">
      <c r="A5" s="24">
        <v>2018</v>
      </c>
      <c r="B5">
        <v>3.5830000000000001E-2</v>
      </c>
      <c r="C5">
        <v>1.039E-2</v>
      </c>
      <c r="D5" s="27">
        <f t="shared" si="0"/>
        <v>1.8613685000000001E-2</v>
      </c>
      <c r="E5" s="27">
        <f t="shared" si="1"/>
        <v>1.9294395559332767</v>
      </c>
      <c r="F5" s="27">
        <f t="shared" si="2"/>
        <v>2.3109999999999999</v>
      </c>
      <c r="G5" s="27">
        <f t="shared" si="3"/>
        <v>0.19294395559332767</v>
      </c>
      <c r="H5" s="27">
        <v>2.5904510326095521E-2</v>
      </c>
    </row>
    <row r="6" spans="1:9">
      <c r="A6" s="24">
        <v>2018</v>
      </c>
      <c r="B6">
        <v>3.5830000000000001E-2</v>
      </c>
      <c r="C6">
        <v>6.7099999999999998E-3</v>
      </c>
      <c r="D6" s="27">
        <f t="shared" si="0"/>
        <v>1.2020965E-2</v>
      </c>
      <c r="E6" s="27">
        <f t="shared" si="1"/>
        <v>1.5505460328542329</v>
      </c>
      <c r="F6" s="27">
        <f t="shared" si="2"/>
        <v>2.1270000000000002</v>
      </c>
      <c r="G6" s="27">
        <f t="shared" si="3"/>
        <v>0.15505460328542328</v>
      </c>
      <c r="H6" s="27">
        <v>2.3269387690714759E-2</v>
      </c>
    </row>
    <row r="7" spans="1:9">
      <c r="A7" s="24">
        <v>2018</v>
      </c>
      <c r="B7">
        <v>3.5830000000000001E-2</v>
      </c>
      <c r="C7">
        <v>7.0299999999999998E-3</v>
      </c>
      <c r="D7" s="27">
        <f t="shared" si="0"/>
        <v>1.2594245E-2</v>
      </c>
      <c r="E7" s="27">
        <f t="shared" si="1"/>
        <v>1.5870882143094629</v>
      </c>
      <c r="F7" s="27">
        <f t="shared" si="2"/>
        <v>2.1430000000000002</v>
      </c>
      <c r="G7" s="27">
        <f t="shared" si="3"/>
        <v>0.15870882143094631</v>
      </c>
      <c r="H7" s="27">
        <v>2.3498840546040432E-2</v>
      </c>
    </row>
    <row r="8" spans="1:9">
      <c r="A8" s="24">
        <v>2018</v>
      </c>
      <c r="B8">
        <v>0.23246</v>
      </c>
      <c r="C8">
        <v>0.73750000000000004</v>
      </c>
      <c r="D8" s="27">
        <f t="shared" si="0"/>
        <v>8.5719625000000015</v>
      </c>
      <c r="E8" s="27">
        <f t="shared" si="1"/>
        <v>41.405223100473691</v>
      </c>
      <c r="F8" s="27">
        <f t="shared" si="2"/>
        <v>48.498000000000005</v>
      </c>
      <c r="G8" s="27">
        <f t="shared" si="3"/>
        <v>4.1405223100473689</v>
      </c>
      <c r="H8" s="27">
        <v>0.6882617655536768</v>
      </c>
    </row>
    <row r="9" spans="1:9">
      <c r="A9" s="24">
        <v>2018</v>
      </c>
      <c r="B9">
        <v>0.23246</v>
      </c>
      <c r="C9">
        <v>6.071E-2</v>
      </c>
      <c r="D9" s="27">
        <f t="shared" si="0"/>
        <v>0.70563233000000003</v>
      </c>
      <c r="E9" s="27">
        <f t="shared" si="1"/>
        <v>11.879666072748005</v>
      </c>
      <c r="F9" s="27">
        <f t="shared" si="2"/>
        <v>14.6585</v>
      </c>
      <c r="G9" s="27">
        <f t="shared" si="3"/>
        <v>1.1879666072748005</v>
      </c>
      <c r="H9" s="27">
        <v>0.202979732142473</v>
      </c>
    </row>
    <row r="10" spans="1:9">
      <c r="A10" s="24">
        <v>2018</v>
      </c>
      <c r="B10">
        <v>0.23246</v>
      </c>
      <c r="C10">
        <v>6.5500000000000003E-3</v>
      </c>
      <c r="D10" s="27">
        <f t="shared" si="0"/>
        <v>7.6130650000000008E-2</v>
      </c>
      <c r="E10" s="27">
        <f t="shared" si="1"/>
        <v>3.9020674007505307</v>
      </c>
      <c r="F10" s="27">
        <f t="shared" si="2"/>
        <v>11.9505</v>
      </c>
      <c r="G10" s="27">
        <f t="shared" si="3"/>
        <v>0.39020674007505307</v>
      </c>
      <c r="H10" s="27">
        <v>0.16414340229825711</v>
      </c>
    </row>
    <row r="11" spans="1:9">
      <c r="A11" s="24">
        <v>2018</v>
      </c>
      <c r="B11">
        <v>0.23246</v>
      </c>
      <c r="C11">
        <v>1.039E-2</v>
      </c>
      <c r="D11" s="27">
        <f t="shared" si="0"/>
        <v>0.12076297</v>
      </c>
      <c r="E11" s="27">
        <f t="shared" si="1"/>
        <v>4.9145288685691932</v>
      </c>
      <c r="F11" s="27">
        <f t="shared" si="2"/>
        <v>12.1425</v>
      </c>
      <c r="G11" s="27">
        <f t="shared" si="3"/>
        <v>0.49145288685691935</v>
      </c>
      <c r="H11" s="27">
        <v>0.1668925343211278</v>
      </c>
    </row>
    <row r="12" spans="1:9">
      <c r="A12" s="24">
        <v>2018</v>
      </c>
      <c r="B12">
        <v>0.23246</v>
      </c>
      <c r="C12">
        <v>6.7099999999999998E-3</v>
      </c>
      <c r="D12" s="27">
        <f t="shared" si="0"/>
        <v>7.7990329999999997E-2</v>
      </c>
      <c r="E12" s="27">
        <f t="shared" si="1"/>
        <v>3.9494386942956843</v>
      </c>
      <c r="F12" s="27">
        <f t="shared" si="2"/>
        <v>11.958499999999999</v>
      </c>
      <c r="G12" s="27">
        <f t="shared" si="3"/>
        <v>0.39494386942956844</v>
      </c>
      <c r="H12" s="27">
        <v>0.16425741168574709</v>
      </c>
    </row>
    <row r="13" spans="1:9">
      <c r="A13" s="24">
        <v>2018</v>
      </c>
      <c r="B13">
        <v>0.23246</v>
      </c>
      <c r="C13">
        <v>7.0299999999999998E-3</v>
      </c>
      <c r="D13" s="27">
        <f t="shared" si="0"/>
        <v>8.1709690000000001E-2</v>
      </c>
      <c r="E13" s="27">
        <f t="shared" si="1"/>
        <v>4.0425162955763083</v>
      </c>
      <c r="F13" s="27">
        <f t="shared" si="2"/>
        <v>11.974500000000001</v>
      </c>
      <c r="G13" s="27">
        <f t="shared" si="3"/>
        <v>0.40425162955763083</v>
      </c>
      <c r="H13" s="27">
        <v>0.16448686454107281</v>
      </c>
    </row>
    <row r="14" spans="1:9">
      <c r="A14" s="24">
        <v>2018</v>
      </c>
      <c r="B14">
        <v>0.31441999999999998</v>
      </c>
      <c r="C14">
        <v>0.73750000000000004</v>
      </c>
      <c r="D14" s="27">
        <f t="shared" si="0"/>
        <v>11.5942375</v>
      </c>
      <c r="E14" s="27">
        <f t="shared" si="1"/>
        <v>48.15441308956013</v>
      </c>
      <c r="F14" s="27">
        <f t="shared" si="2"/>
        <v>52.595999999999997</v>
      </c>
      <c r="G14" s="27">
        <f t="shared" si="3"/>
        <v>4.8154413089560126</v>
      </c>
      <c r="H14" s="27">
        <v>0.74703396332482908</v>
      </c>
    </row>
    <row r="15" spans="1:9">
      <c r="A15" s="24">
        <v>2018</v>
      </c>
      <c r="B15">
        <v>0.31441999999999998</v>
      </c>
      <c r="C15">
        <v>6.071E-2</v>
      </c>
      <c r="D15" s="27">
        <f t="shared" si="0"/>
        <v>0.95442190999999987</v>
      </c>
      <c r="E15" s="27">
        <f t="shared" si="1"/>
        <v>13.816091415447424</v>
      </c>
      <c r="F15" s="27">
        <f t="shared" si="2"/>
        <v>18.756499999999999</v>
      </c>
      <c r="G15" s="27">
        <f t="shared" si="3"/>
        <v>1.3816091415447422</v>
      </c>
      <c r="H15" s="27">
        <v>0.26175192991362528</v>
      </c>
    </row>
    <row r="16" spans="1:9">
      <c r="A16" s="24">
        <v>2018</v>
      </c>
      <c r="B16">
        <v>0.31441999999999998</v>
      </c>
      <c r="C16">
        <v>6.5500000000000003E-3</v>
      </c>
      <c r="D16" s="27">
        <f t="shared" si="0"/>
        <v>0.10297255</v>
      </c>
      <c r="E16" s="27">
        <f t="shared" si="1"/>
        <v>4.5381174511023836</v>
      </c>
      <c r="F16" s="27">
        <f t="shared" si="2"/>
        <v>16.048499999999997</v>
      </c>
      <c r="G16" s="27">
        <f t="shared" si="3"/>
        <v>0.45381174511023842</v>
      </c>
      <c r="H16" s="27">
        <v>0.22291560006940939</v>
      </c>
    </row>
    <row r="17" spans="1:8">
      <c r="A17" s="24">
        <v>2018</v>
      </c>
      <c r="B17">
        <v>0.31441999999999998</v>
      </c>
      <c r="C17">
        <v>1.039E-2</v>
      </c>
      <c r="D17" s="27">
        <f t="shared" si="0"/>
        <v>0.16334119</v>
      </c>
      <c r="E17" s="27">
        <f t="shared" si="1"/>
        <v>5.7156135278725761</v>
      </c>
      <c r="F17" s="27">
        <f t="shared" si="2"/>
        <v>16.240500000000001</v>
      </c>
      <c r="G17" s="27">
        <f t="shared" si="3"/>
        <v>0.57156135278725761</v>
      </c>
      <c r="H17" s="27">
        <v>0.22566473209228019</v>
      </c>
    </row>
    <row r="18" spans="1:8">
      <c r="A18" s="24">
        <v>2018</v>
      </c>
      <c r="B18">
        <v>0.31441999999999998</v>
      </c>
      <c r="C18">
        <v>6.7099999999999998E-3</v>
      </c>
      <c r="D18" s="27">
        <f t="shared" si="0"/>
        <v>0.10548790999999999</v>
      </c>
      <c r="E18" s="27">
        <f t="shared" si="1"/>
        <v>4.5932104240933702</v>
      </c>
      <c r="F18" s="27">
        <f t="shared" si="2"/>
        <v>16.0565</v>
      </c>
      <c r="G18" s="27">
        <f t="shared" si="3"/>
        <v>0.45932104240933702</v>
      </c>
      <c r="H18" s="27">
        <v>0.2230296094568994</v>
      </c>
    </row>
    <row r="19" spans="1:8">
      <c r="A19" s="24">
        <v>2018</v>
      </c>
      <c r="B19">
        <v>0.31441999999999998</v>
      </c>
      <c r="C19">
        <v>7.0299999999999998E-3</v>
      </c>
      <c r="D19" s="27">
        <f t="shared" si="0"/>
        <v>0.11051862999999998</v>
      </c>
      <c r="E19" s="27">
        <f t="shared" si="1"/>
        <v>4.7014599860043473</v>
      </c>
      <c r="F19" s="27">
        <f t="shared" si="2"/>
        <v>16.072499999999998</v>
      </c>
      <c r="G19" s="27">
        <f t="shared" si="3"/>
        <v>0.47014599860043471</v>
      </c>
      <c r="H19" s="27">
        <v>0.223259062312225</v>
      </c>
    </row>
    <row r="20" spans="1:8">
      <c r="A20" s="24">
        <v>2018</v>
      </c>
      <c r="B20">
        <v>2.1350000000000001E-2</v>
      </c>
      <c r="C20">
        <v>0.73750000000000004</v>
      </c>
      <c r="D20" s="27">
        <f t="shared" si="0"/>
        <v>0.78728125000000015</v>
      </c>
      <c r="E20" s="27">
        <f t="shared" si="1"/>
        <v>12.54815723522781</v>
      </c>
      <c r="F20" s="27">
        <f t="shared" si="2"/>
        <v>37.942500000000003</v>
      </c>
      <c r="G20" s="27">
        <f t="shared" si="3"/>
        <v>1.254815723522781</v>
      </c>
      <c r="H20" s="27">
        <v>0.53688956577481195</v>
      </c>
    </row>
    <row r="21" spans="1:8">
      <c r="A21" s="24">
        <v>2018</v>
      </c>
      <c r="B21">
        <v>2.1350000000000001E-2</v>
      </c>
      <c r="C21">
        <v>6.071E-2</v>
      </c>
      <c r="D21" s="27">
        <f t="shared" si="0"/>
        <v>6.4807925000000002E-2</v>
      </c>
      <c r="E21" s="27">
        <f t="shared" si="1"/>
        <v>3.6002201321585883</v>
      </c>
      <c r="F21" s="27">
        <f t="shared" si="2"/>
        <v>4.1029999999999998</v>
      </c>
      <c r="G21" s="27">
        <f t="shared" si="3"/>
        <v>0.3600220132158588</v>
      </c>
      <c r="H21" s="27">
        <v>5.1607532363608183E-2</v>
      </c>
    </row>
    <row r="22" spans="1:8">
      <c r="A22" s="24">
        <v>2018</v>
      </c>
      <c r="B22">
        <v>2.1350000000000001E-2</v>
      </c>
      <c r="C22">
        <v>6.5500000000000003E-3</v>
      </c>
      <c r="D22" s="27">
        <f t="shared" si="0"/>
        <v>6.9921250000000001E-3</v>
      </c>
      <c r="E22" s="27">
        <f t="shared" si="1"/>
        <v>1.182550210350495</v>
      </c>
      <c r="F22" s="27">
        <f t="shared" si="2"/>
        <v>1.395</v>
      </c>
      <c r="G22" s="27">
        <f t="shared" si="3"/>
        <v>0.11825502103504951</v>
      </c>
      <c r="H22" s="27">
        <v>1.2771202519392349E-2</v>
      </c>
    </row>
    <row r="23" spans="1:8">
      <c r="A23" s="24">
        <v>2018</v>
      </c>
      <c r="B23">
        <v>2.1350000000000001E-2</v>
      </c>
      <c r="C23">
        <v>1.039E-2</v>
      </c>
      <c r="D23" s="27">
        <f t="shared" si="0"/>
        <v>1.1091325000000001E-2</v>
      </c>
      <c r="E23" s="27">
        <f t="shared" si="1"/>
        <v>1.4893841008954003</v>
      </c>
      <c r="F23" s="27">
        <f t="shared" si="2"/>
        <v>1.5870000000000002</v>
      </c>
      <c r="G23" s="27">
        <f t="shared" si="3"/>
        <v>0.14893841008954004</v>
      </c>
      <c r="H23" s="27">
        <v>1.5520334542263059E-2</v>
      </c>
    </row>
    <row r="24" spans="1:8">
      <c r="A24" s="24">
        <v>2018</v>
      </c>
      <c r="B24">
        <v>2.1350000000000001E-2</v>
      </c>
      <c r="C24">
        <v>6.7099999999999998E-3</v>
      </c>
      <c r="D24" s="27">
        <f t="shared" si="0"/>
        <v>7.1629250000000005E-3</v>
      </c>
      <c r="E24" s="27">
        <f t="shared" si="1"/>
        <v>1.1969064290912637</v>
      </c>
      <c r="F24" s="27">
        <f t="shared" si="2"/>
        <v>1.403</v>
      </c>
      <c r="G24" s="27">
        <f t="shared" si="3"/>
        <v>0.11969064290912636</v>
      </c>
      <c r="H24" s="27">
        <v>1.288521190688229E-2</v>
      </c>
    </row>
    <row r="25" spans="1:8">
      <c r="A25" s="24">
        <v>2018</v>
      </c>
      <c r="B25">
        <v>2.1350000000000001E-2</v>
      </c>
      <c r="C25">
        <v>7.0299999999999998E-3</v>
      </c>
      <c r="D25" s="27">
        <f t="shared" si="0"/>
        <v>7.5045249999999997E-3</v>
      </c>
      <c r="E25" s="27">
        <f t="shared" si="1"/>
        <v>1.225114280383671</v>
      </c>
      <c r="F25" s="27">
        <f t="shared" si="2"/>
        <v>1.419</v>
      </c>
      <c r="G25" s="27">
        <f t="shared" si="3"/>
        <v>0.12251142803836709</v>
      </c>
      <c r="H25" s="27">
        <v>1.311466476220797E-2</v>
      </c>
    </row>
    <row r="26" spans="1:8">
      <c r="A26" s="24">
        <v>2018</v>
      </c>
      <c r="B26">
        <v>6.5089999999999995E-2</v>
      </c>
      <c r="C26">
        <v>0.73750000000000004</v>
      </c>
      <c r="D26" s="27">
        <f t="shared" si="0"/>
        <v>2.4001937500000001</v>
      </c>
      <c r="E26" s="27">
        <f t="shared" si="1"/>
        <v>21.90978662607192</v>
      </c>
      <c r="F26" s="27">
        <f t="shared" si="2"/>
        <v>40.1295</v>
      </c>
      <c r="G26" s="27">
        <f t="shared" si="3"/>
        <v>2.1909786626071921</v>
      </c>
      <c r="H26" s="27">
        <v>0.56825577109783132</v>
      </c>
    </row>
    <row r="27" spans="1:8">
      <c r="A27" s="24">
        <v>2018</v>
      </c>
      <c r="B27">
        <v>6.5089999999999995E-2</v>
      </c>
      <c r="C27">
        <v>6.071E-2</v>
      </c>
      <c r="D27" s="27">
        <f t="shared" si="0"/>
        <v>0.19758069499999997</v>
      </c>
      <c r="E27" s="27">
        <f t="shared" si="1"/>
        <v>6.2861863637661903</v>
      </c>
      <c r="F27" s="27">
        <f t="shared" si="2"/>
        <v>6.29</v>
      </c>
      <c r="G27" s="27">
        <f t="shared" si="3"/>
        <v>0.62861863637661897</v>
      </c>
      <c r="H27" s="27">
        <v>8.2973737686627622E-2</v>
      </c>
    </row>
    <row r="28" spans="1:8">
      <c r="A28" s="24">
        <v>2018</v>
      </c>
      <c r="B28">
        <v>6.5089999999999995E-2</v>
      </c>
      <c r="C28">
        <v>6.5500000000000003E-3</v>
      </c>
      <c r="D28" s="27">
        <f t="shared" si="0"/>
        <v>2.1316974999999998E-2</v>
      </c>
      <c r="E28" s="27">
        <f t="shared" si="1"/>
        <v>2.0647990216967846</v>
      </c>
      <c r="F28" s="27">
        <f t="shared" si="2"/>
        <v>3.5819999999999999</v>
      </c>
      <c r="G28" s="27">
        <f t="shared" si="3"/>
        <v>0.20647990216967849</v>
      </c>
      <c r="H28" s="27">
        <v>4.4137407842411769E-2</v>
      </c>
    </row>
    <row r="29" spans="1:8">
      <c r="A29" s="24">
        <v>2018</v>
      </c>
      <c r="B29">
        <v>6.5089999999999995E-2</v>
      </c>
      <c r="C29">
        <v>1.039E-2</v>
      </c>
      <c r="D29" s="27">
        <f t="shared" si="0"/>
        <v>3.3814254999999994E-2</v>
      </c>
      <c r="E29" s="27">
        <f t="shared" si="1"/>
        <v>2.6005482114354272</v>
      </c>
      <c r="F29" s="27">
        <f t="shared" si="2"/>
        <v>3.7739999999999996</v>
      </c>
      <c r="G29" s="27">
        <f t="shared" si="3"/>
        <v>0.26005482114354272</v>
      </c>
      <c r="H29" s="27">
        <v>4.6886539865282482E-2</v>
      </c>
    </row>
    <row r="30" spans="1:8">
      <c r="A30" s="24">
        <v>2018</v>
      </c>
      <c r="B30">
        <v>6.5089999999999995E-2</v>
      </c>
      <c r="C30">
        <v>6.7099999999999998E-3</v>
      </c>
      <c r="D30" s="27">
        <f t="shared" si="0"/>
        <v>2.1837694999999997E-2</v>
      </c>
      <c r="E30" s="27">
        <f t="shared" si="1"/>
        <v>2.0898657851642048</v>
      </c>
      <c r="F30" s="27">
        <f t="shared" si="2"/>
        <v>3.5899999999999994</v>
      </c>
      <c r="G30" s="27">
        <f t="shared" si="3"/>
        <v>0.2089865785164205</v>
      </c>
      <c r="H30" s="27">
        <v>4.4251417229901717E-2</v>
      </c>
    </row>
    <row r="31" spans="1:8">
      <c r="A31" s="24">
        <v>2018</v>
      </c>
      <c r="B31">
        <v>6.5089999999999995E-2</v>
      </c>
      <c r="C31">
        <v>7.0299999999999998E-3</v>
      </c>
      <c r="D31" s="27">
        <f t="shared" si="0"/>
        <v>2.2879134999999998E-2</v>
      </c>
      <c r="E31" s="27">
        <f t="shared" si="1"/>
        <v>2.1391182762998402</v>
      </c>
      <c r="F31" s="27">
        <f t="shared" si="2"/>
        <v>3.6059999999999994</v>
      </c>
      <c r="G31" s="27">
        <f t="shared" si="3"/>
        <v>0.21391182762998404</v>
      </c>
      <c r="H31" s="27">
        <v>4.4480870085227393E-2</v>
      </c>
    </row>
    <row r="32" spans="1:8">
      <c r="A32" s="24">
        <v>2018</v>
      </c>
      <c r="B32">
        <v>5.0800000000000003E-3</v>
      </c>
      <c r="C32">
        <v>0.73750000000000004</v>
      </c>
      <c r="D32" s="27">
        <f t="shared" si="0"/>
        <v>0.18732500000000002</v>
      </c>
      <c r="E32" s="27">
        <f t="shared" si="1"/>
        <v>6.1208659518077999</v>
      </c>
      <c r="F32" s="27">
        <f t="shared" si="2"/>
        <v>37.128999999999998</v>
      </c>
      <c r="G32" s="27">
        <f t="shared" si="3"/>
        <v>0.61208659518078001</v>
      </c>
      <c r="H32" s="27">
        <v>0.52522045400115569</v>
      </c>
    </row>
    <row r="33" spans="1:8">
      <c r="A33" s="24">
        <v>2018</v>
      </c>
      <c r="B33">
        <v>5.0800000000000003E-3</v>
      </c>
      <c r="C33">
        <v>6.071E-2</v>
      </c>
      <c r="D33" s="27">
        <f t="shared" si="0"/>
        <v>1.5420339999999999E-2</v>
      </c>
      <c r="E33" s="27">
        <f t="shared" si="1"/>
        <v>1.7561514741046687</v>
      </c>
      <c r="F33" s="27">
        <f t="shared" si="2"/>
        <v>3.2894999999999999</v>
      </c>
      <c r="G33" s="27">
        <f t="shared" si="3"/>
        <v>0.17561514741046685</v>
      </c>
      <c r="H33" s="27">
        <v>3.9938420589951971E-2</v>
      </c>
    </row>
    <row r="34" spans="1:8">
      <c r="A34" s="24">
        <v>2018</v>
      </c>
      <c r="B34">
        <v>5.0800000000000003E-3</v>
      </c>
      <c r="C34">
        <v>6.5500000000000003E-3</v>
      </c>
      <c r="D34" s="27">
        <f t="shared" si="0"/>
        <v>1.6636999999999999E-3</v>
      </c>
      <c r="E34" s="27">
        <f t="shared" si="1"/>
        <v>0.57683619858673918</v>
      </c>
      <c r="F34" s="27">
        <f t="shared" si="2"/>
        <v>0.58150000000000013</v>
      </c>
      <c r="G34" s="27">
        <f t="shared" si="3"/>
        <v>5.7683619858673915E-2</v>
      </c>
      <c r="H34" s="27">
        <v>1.102090745736122E-3</v>
      </c>
    </row>
    <row r="35" spans="1:8">
      <c r="A35" s="24">
        <v>2018</v>
      </c>
      <c r="B35">
        <v>5.0800000000000003E-3</v>
      </c>
      <c r="C35">
        <v>1.039E-2</v>
      </c>
      <c r="D35" s="27">
        <f t="shared" si="0"/>
        <v>2.6390599999999999E-3</v>
      </c>
      <c r="E35" s="27">
        <f t="shared" si="1"/>
        <v>0.72650671022365643</v>
      </c>
      <c r="F35" s="27">
        <f t="shared" si="2"/>
        <v>0.77350000000000008</v>
      </c>
      <c r="G35" s="27">
        <f t="shared" si="3"/>
        <v>7.2650671022365651E-2</v>
      </c>
      <c r="H35" s="27">
        <v>3.8512227686068332E-3</v>
      </c>
    </row>
    <row r="36" spans="1:8">
      <c r="A36" s="24">
        <v>2018</v>
      </c>
      <c r="B36">
        <v>5.0800000000000003E-3</v>
      </c>
      <c r="C36">
        <v>6.7099999999999998E-3</v>
      </c>
      <c r="D36" s="27">
        <f t="shared" si="0"/>
        <v>1.7043399999999999E-3</v>
      </c>
      <c r="E36" s="27">
        <f t="shared" si="1"/>
        <v>0.5838390189084659</v>
      </c>
      <c r="F36" s="27">
        <f t="shared" si="2"/>
        <v>0.58950000000000002</v>
      </c>
      <c r="G36" s="27">
        <f t="shared" si="3"/>
        <v>5.8383901890846586E-2</v>
      </c>
      <c r="H36" s="27">
        <v>1.216100133226064E-3</v>
      </c>
    </row>
    <row r="37" spans="1:8">
      <c r="A37" s="24">
        <v>2018</v>
      </c>
      <c r="B37">
        <v>5.0800000000000003E-3</v>
      </c>
      <c r="C37">
        <v>7.0299999999999998E-3</v>
      </c>
      <c r="D37" s="27">
        <f t="shared" si="0"/>
        <v>1.7856199999999999E-3</v>
      </c>
      <c r="E37" s="27">
        <f t="shared" si="1"/>
        <v>0.59759852744129149</v>
      </c>
      <c r="F37" s="27">
        <f t="shared" si="2"/>
        <v>0.60549999999999993</v>
      </c>
      <c r="G37" s="27">
        <f t="shared" si="3"/>
        <v>5.9759852744129149E-2</v>
      </c>
      <c r="H37" s="27">
        <v>1.445552988551736E-3</v>
      </c>
    </row>
    <row r="38" spans="1:8">
      <c r="A38" s="24">
        <v>2018</v>
      </c>
      <c r="B38">
        <v>2.001E-2</v>
      </c>
      <c r="C38">
        <v>0.73750000000000004</v>
      </c>
      <c r="D38" s="27">
        <f t="shared" si="0"/>
        <v>0.73786875000000007</v>
      </c>
      <c r="E38" s="27">
        <f t="shared" si="1"/>
        <v>12.147993661506414</v>
      </c>
      <c r="F38" s="27">
        <f t="shared" si="2"/>
        <v>37.875500000000002</v>
      </c>
      <c r="G38" s="27">
        <f t="shared" si="3"/>
        <v>1.2147993661506413</v>
      </c>
      <c r="H38" s="27">
        <v>0.53592586378244422</v>
      </c>
    </row>
    <row r="39" spans="1:8">
      <c r="A39" s="24">
        <v>2018</v>
      </c>
      <c r="B39">
        <v>2.001E-2</v>
      </c>
      <c r="C39">
        <v>6.071E-2</v>
      </c>
      <c r="D39" s="27">
        <f t="shared" si="0"/>
        <v>6.0740355000000003E-2</v>
      </c>
      <c r="E39" s="27">
        <f t="shared" si="1"/>
        <v>3.4854082974595677</v>
      </c>
      <c r="F39" s="27">
        <f t="shared" si="2"/>
        <v>4.0359999999999996</v>
      </c>
      <c r="G39" s="27">
        <f t="shared" si="3"/>
        <v>0.34854082974595674</v>
      </c>
      <c r="H39" s="27">
        <v>5.0643830371240373E-2</v>
      </c>
    </row>
    <row r="40" spans="1:8">
      <c r="A40" s="24">
        <v>2018</v>
      </c>
      <c r="B40">
        <v>2.001E-2</v>
      </c>
      <c r="C40">
        <v>6.5500000000000003E-3</v>
      </c>
      <c r="D40" s="27">
        <f t="shared" si="0"/>
        <v>6.5532750000000008E-3</v>
      </c>
      <c r="E40" s="27">
        <f t="shared" si="1"/>
        <v>1.1448384165461953</v>
      </c>
      <c r="F40" s="27">
        <f t="shared" si="2"/>
        <v>1.3280000000000001</v>
      </c>
      <c r="G40" s="27">
        <f t="shared" si="3"/>
        <v>0.11448384165461954</v>
      </c>
      <c r="H40" s="27">
        <v>1.180750052702453E-2</v>
      </c>
    </row>
    <row r="41" spans="1:8">
      <c r="A41" s="24">
        <v>2018</v>
      </c>
      <c r="B41">
        <v>2.001E-2</v>
      </c>
      <c r="C41">
        <v>1.039E-2</v>
      </c>
      <c r="D41" s="27">
        <f t="shared" si="0"/>
        <v>1.0395194999999999E-2</v>
      </c>
      <c r="E41" s="27">
        <f t="shared" si="1"/>
        <v>1.4418873048889778</v>
      </c>
      <c r="F41" s="27">
        <f t="shared" si="2"/>
        <v>1.52</v>
      </c>
      <c r="G41" s="27">
        <f t="shared" si="3"/>
        <v>0.14418873048889777</v>
      </c>
      <c r="H41" s="27">
        <v>1.455663254989524E-2</v>
      </c>
    </row>
    <row r="42" spans="1:8">
      <c r="A42" s="24">
        <v>2018</v>
      </c>
      <c r="B42">
        <v>2.001E-2</v>
      </c>
      <c r="C42">
        <v>6.7099999999999998E-3</v>
      </c>
      <c r="D42" s="27">
        <f t="shared" si="0"/>
        <v>6.713354999999999E-3</v>
      </c>
      <c r="E42" s="27">
        <f t="shared" si="1"/>
        <v>1.1587368122226893</v>
      </c>
      <c r="F42" s="27">
        <f t="shared" si="2"/>
        <v>1.3360000000000001</v>
      </c>
      <c r="G42" s="27">
        <f t="shared" si="3"/>
        <v>0.11587368122226892</v>
      </c>
      <c r="H42" s="27">
        <v>1.192150991451447E-2</v>
      </c>
    </row>
    <row r="43" spans="1:8">
      <c r="A43" s="24">
        <v>2018</v>
      </c>
      <c r="B43">
        <v>2.001E-2</v>
      </c>
      <c r="C43">
        <v>7.0299999999999998E-3</v>
      </c>
      <c r="D43" s="27">
        <f t="shared" si="0"/>
        <v>7.0335149999999997E-3</v>
      </c>
      <c r="E43" s="27">
        <f t="shared" si="1"/>
        <v>1.1860451087543002</v>
      </c>
      <c r="F43" s="27">
        <f t="shared" si="2"/>
        <v>1.3520000000000001</v>
      </c>
      <c r="G43" s="27">
        <f t="shared" si="3"/>
        <v>0.11860451087543003</v>
      </c>
      <c r="H43" s="27">
        <v>1.2150962769840141E-2</v>
      </c>
    </row>
    <row r="44" spans="1:8">
      <c r="A44" s="24">
        <v>2018</v>
      </c>
      <c r="B44">
        <v>8.8100000000000001E-3</v>
      </c>
      <c r="C44">
        <v>0.73750000000000004</v>
      </c>
      <c r="D44" s="27">
        <f t="shared" si="0"/>
        <v>0.32486875000000004</v>
      </c>
      <c r="E44" s="27">
        <f t="shared" si="1"/>
        <v>8.0606296280129381</v>
      </c>
      <c r="F44" s="27">
        <f t="shared" si="2"/>
        <v>37.3155</v>
      </c>
      <c r="G44" s="27">
        <f t="shared" si="3"/>
        <v>0.80606296280129386</v>
      </c>
      <c r="H44" s="27">
        <v>1</v>
      </c>
    </row>
    <row r="45" spans="1:8">
      <c r="A45" s="24">
        <v>2018</v>
      </c>
      <c r="B45">
        <v>8.8100000000000001E-3</v>
      </c>
      <c r="C45">
        <v>6.071E-2</v>
      </c>
      <c r="D45" s="27">
        <f t="shared" si="0"/>
        <v>2.6742755E-2</v>
      </c>
      <c r="E45" s="27">
        <f t="shared" si="1"/>
        <v>2.3126934513679065</v>
      </c>
      <c r="F45" s="27">
        <f t="shared" si="2"/>
        <v>3.476</v>
      </c>
      <c r="G45" s="27">
        <f t="shared" si="3"/>
        <v>0.23126934513679068</v>
      </c>
      <c r="H45" s="27">
        <v>0.51471796658879598</v>
      </c>
    </row>
    <row r="46" spans="1:8">
      <c r="A46" s="24">
        <v>2018</v>
      </c>
      <c r="B46">
        <v>8.8100000000000001E-3</v>
      </c>
      <c r="C46">
        <v>6.5500000000000003E-3</v>
      </c>
      <c r="D46" s="27">
        <f t="shared" si="0"/>
        <v>2.8852750000000001E-3</v>
      </c>
      <c r="E46" s="27">
        <f t="shared" si="1"/>
        <v>0.75964136274955441</v>
      </c>
      <c r="F46" s="27">
        <f t="shared" si="2"/>
        <v>0.76800000000000002</v>
      </c>
      <c r="G46" s="27">
        <f t="shared" si="3"/>
        <v>7.5964136274955435E-2</v>
      </c>
      <c r="H46" s="27">
        <v>0.47588163674458012</v>
      </c>
    </row>
    <row r="47" spans="1:8">
      <c r="A47" s="24">
        <v>2018</v>
      </c>
      <c r="B47">
        <v>8.8100000000000001E-3</v>
      </c>
      <c r="C47">
        <v>1.039E-2</v>
      </c>
      <c r="D47" s="27">
        <f t="shared" si="0"/>
        <v>4.5767950000000007E-3</v>
      </c>
      <c r="E47" s="27">
        <f t="shared" si="1"/>
        <v>0.95674395738880935</v>
      </c>
      <c r="F47" s="27">
        <f t="shared" si="2"/>
        <v>0.96000000000000008</v>
      </c>
      <c r="G47" s="27">
        <f t="shared" si="3"/>
        <v>9.5674395738880952E-2</v>
      </c>
      <c r="H47" s="27">
        <v>0.47863076876745092</v>
      </c>
    </row>
    <row r="48" spans="1:8">
      <c r="A48" s="24">
        <v>2018</v>
      </c>
      <c r="B48">
        <v>8.8100000000000001E-3</v>
      </c>
      <c r="C48">
        <v>6.7099999999999998E-3</v>
      </c>
      <c r="D48" s="27">
        <f t="shared" si="0"/>
        <v>2.955755E-3</v>
      </c>
      <c r="E48" s="27">
        <f t="shared" si="1"/>
        <v>0.76886344691368957</v>
      </c>
      <c r="F48" s="27">
        <f t="shared" si="2"/>
        <v>0.77599999999999991</v>
      </c>
      <c r="G48" s="27">
        <f t="shared" si="3"/>
        <v>7.6886344691368957E-2</v>
      </c>
      <c r="H48" s="27">
        <v>0.47599564613207013</v>
      </c>
    </row>
    <row r="49" spans="1:8">
      <c r="A49" s="24">
        <v>2018</v>
      </c>
      <c r="B49">
        <v>8.8100000000000001E-3</v>
      </c>
      <c r="C49">
        <v>7.0299999999999998E-3</v>
      </c>
      <c r="D49" s="27">
        <f t="shared" si="0"/>
        <v>3.0967149999999999E-3</v>
      </c>
      <c r="E49" s="27">
        <f t="shared" si="1"/>
        <v>0.7869834814022465</v>
      </c>
      <c r="F49" s="27">
        <f t="shared" si="2"/>
        <v>0.79200000000000004</v>
      </c>
      <c r="G49" s="27">
        <f t="shared" si="3"/>
        <v>7.8698348140224639E-2</v>
      </c>
      <c r="H49" s="27">
        <v>0.47622509898739568</v>
      </c>
    </row>
    <row r="50" spans="1:8">
      <c r="A50" s="24">
        <v>2018</v>
      </c>
      <c r="B50">
        <v>2.5080000000000002E-2</v>
      </c>
      <c r="C50">
        <v>0.73750000000000004</v>
      </c>
      <c r="D50" s="27">
        <f t="shared" si="0"/>
        <v>0.92482500000000012</v>
      </c>
      <c r="E50" s="27">
        <f t="shared" si="1"/>
        <v>13.600183822287109</v>
      </c>
      <c r="F50" s="27">
        <f t="shared" si="2"/>
        <v>38.129000000000005</v>
      </c>
      <c r="G50" s="27">
        <f t="shared" si="3"/>
        <v>1.3600183822287111</v>
      </c>
      <c r="H50" s="27">
        <v>0.53956555970004771</v>
      </c>
    </row>
    <row r="51" spans="1:8">
      <c r="A51" s="24">
        <v>2018</v>
      </c>
      <c r="B51">
        <v>2.5080000000000002E-2</v>
      </c>
      <c r="C51">
        <v>6.071E-2</v>
      </c>
      <c r="D51" s="27">
        <f t="shared" si="0"/>
        <v>7.6130340000000005E-2</v>
      </c>
      <c r="E51" s="27">
        <f t="shared" si="1"/>
        <v>3.9020594562358992</v>
      </c>
      <c r="F51" s="27">
        <f t="shared" si="2"/>
        <v>4.2895000000000003</v>
      </c>
      <c r="G51" s="27">
        <f t="shared" si="3"/>
        <v>0.3902059456235899</v>
      </c>
      <c r="H51" s="27">
        <v>5.4283526288843857E-2</v>
      </c>
    </row>
    <row r="52" spans="1:8">
      <c r="A52" s="24">
        <v>2018</v>
      </c>
      <c r="B52">
        <v>2.5080000000000002E-2</v>
      </c>
      <c r="C52">
        <v>6.5500000000000003E-3</v>
      </c>
      <c r="D52" s="27">
        <f t="shared" si="0"/>
        <v>8.2137000000000009E-3</v>
      </c>
      <c r="E52" s="27">
        <f t="shared" si="1"/>
        <v>1.281694191295256</v>
      </c>
      <c r="F52" s="27">
        <f t="shared" si="2"/>
        <v>1.5815000000000003</v>
      </c>
      <c r="G52" s="27">
        <f t="shared" si="3"/>
        <v>0.12816941912952559</v>
      </c>
      <c r="H52" s="27">
        <v>1.5447196444627999E-2</v>
      </c>
    </row>
    <row r="53" spans="1:8">
      <c r="A53" s="24">
        <v>2018</v>
      </c>
      <c r="B53">
        <v>2.5080000000000002E-2</v>
      </c>
      <c r="C53">
        <v>1.039E-2</v>
      </c>
      <c r="D53" s="27">
        <f t="shared" si="0"/>
        <v>1.3029060000000002E-2</v>
      </c>
      <c r="E53" s="27">
        <f t="shared" si="1"/>
        <v>1.6142527683110846</v>
      </c>
      <c r="F53" s="27">
        <f t="shared" si="2"/>
        <v>1.7735000000000001</v>
      </c>
      <c r="G53" s="27">
        <f t="shared" si="3"/>
        <v>0.16142527683110847</v>
      </c>
      <c r="H53" s="27">
        <v>1.8196328467498721E-2</v>
      </c>
    </row>
    <row r="54" spans="1:8">
      <c r="A54" s="24">
        <v>2018</v>
      </c>
      <c r="B54">
        <v>2.5080000000000002E-2</v>
      </c>
      <c r="C54">
        <v>6.7099999999999998E-3</v>
      </c>
      <c r="D54" s="27">
        <f t="shared" si="0"/>
        <v>8.4143399999999993E-3</v>
      </c>
      <c r="E54" s="27">
        <f t="shared" si="1"/>
        <v>1.2972540229268901</v>
      </c>
      <c r="F54" s="27">
        <f t="shared" si="2"/>
        <v>1.5894999999999999</v>
      </c>
      <c r="G54" s="27">
        <f t="shared" si="3"/>
        <v>0.129725402292689</v>
      </c>
      <c r="H54" s="27">
        <v>1.5561205832117951E-2</v>
      </c>
    </row>
    <row r="55" spans="1:8">
      <c r="A55" s="24">
        <v>2018</v>
      </c>
      <c r="B55">
        <v>2.5080000000000002E-2</v>
      </c>
      <c r="C55">
        <v>7.0299999999999998E-3</v>
      </c>
      <c r="D55" s="27">
        <f t="shared" si="0"/>
        <v>8.8156199999999997E-3</v>
      </c>
      <c r="E55" s="27">
        <f t="shared" si="1"/>
        <v>1.3278267959338672</v>
      </c>
      <c r="F55" s="27">
        <f t="shared" si="2"/>
        <v>1.6054999999999999</v>
      </c>
      <c r="G55" s="27">
        <f t="shared" si="3"/>
        <v>0.13278267959338672</v>
      </c>
      <c r="H55" s="27">
        <v>1.5790658687443618E-2</v>
      </c>
    </row>
    <row r="56" spans="1:8">
      <c r="A56" s="24">
        <v>2018</v>
      </c>
      <c r="B56">
        <v>0.11765</v>
      </c>
      <c r="C56">
        <v>0.73750000000000004</v>
      </c>
      <c r="D56" s="27">
        <f t="shared" si="0"/>
        <v>4.3383437499999999</v>
      </c>
      <c r="E56" s="27">
        <f t="shared" si="1"/>
        <v>29.45621751006059</v>
      </c>
      <c r="F56" s="27">
        <f t="shared" si="2"/>
        <v>42.757500000000007</v>
      </c>
      <c r="G56" s="27">
        <f t="shared" si="3"/>
        <v>2.9456217510060587</v>
      </c>
      <c r="H56" s="27">
        <v>0.60593838330386285</v>
      </c>
    </row>
    <row r="57" spans="1:8">
      <c r="A57" s="24">
        <v>2018</v>
      </c>
      <c r="B57">
        <v>0.11765</v>
      </c>
      <c r="C57">
        <v>6.071E-2</v>
      </c>
      <c r="D57" s="27">
        <f t="shared" si="0"/>
        <v>0.357126575</v>
      </c>
      <c r="E57" s="27">
        <f t="shared" si="1"/>
        <v>8.4513498921769887</v>
      </c>
      <c r="F57" s="27">
        <f t="shared" si="2"/>
        <v>8.918000000000001</v>
      </c>
      <c r="G57" s="27">
        <f t="shared" si="3"/>
        <v>0.84513498921769892</v>
      </c>
      <c r="H57" s="27">
        <v>0.1206563498926591</v>
      </c>
    </row>
    <row r="58" spans="1:8">
      <c r="A58" s="24">
        <v>2018</v>
      </c>
      <c r="B58">
        <v>0.11765</v>
      </c>
      <c r="C58">
        <v>6.5500000000000003E-3</v>
      </c>
      <c r="D58" s="27">
        <f t="shared" si="0"/>
        <v>3.8530374999999999E-2</v>
      </c>
      <c r="E58" s="27">
        <f t="shared" si="1"/>
        <v>2.7759818082977419</v>
      </c>
      <c r="F58" s="27">
        <f t="shared" si="2"/>
        <v>6.21</v>
      </c>
      <c r="G58" s="27">
        <f t="shared" si="3"/>
        <v>0.27759818082977417</v>
      </c>
      <c r="H58" s="27">
        <v>8.1820020048443215E-2</v>
      </c>
    </row>
    <row r="59" spans="1:8">
      <c r="A59" s="24">
        <v>2018</v>
      </c>
      <c r="B59">
        <v>0.11765</v>
      </c>
      <c r="C59">
        <v>1.039E-2</v>
      </c>
      <c r="D59" s="27">
        <f t="shared" si="0"/>
        <v>6.1119174999999998E-2</v>
      </c>
      <c r="E59" s="27">
        <f t="shared" si="1"/>
        <v>3.4962601447832795</v>
      </c>
      <c r="F59" s="27">
        <f t="shared" si="2"/>
        <v>6.402000000000001</v>
      </c>
      <c r="G59" s="27">
        <f t="shared" si="3"/>
        <v>0.34962601447832797</v>
      </c>
      <c r="H59" s="27">
        <v>8.4569152071313936E-2</v>
      </c>
    </row>
    <row r="60" spans="1:8">
      <c r="A60" s="24">
        <v>2018</v>
      </c>
      <c r="B60">
        <v>0.11765</v>
      </c>
      <c r="C60">
        <v>6.7099999999999998E-3</v>
      </c>
      <c r="D60" s="27">
        <f t="shared" si="0"/>
        <v>3.9471575000000002E-2</v>
      </c>
      <c r="E60" s="27">
        <f t="shared" si="1"/>
        <v>2.8096823663894819</v>
      </c>
      <c r="F60" s="27">
        <f t="shared" si="2"/>
        <v>6.218</v>
      </c>
      <c r="G60" s="27">
        <f t="shared" si="3"/>
        <v>0.28096823663894821</v>
      </c>
      <c r="H60" s="27">
        <v>8.1934029435933156E-2</v>
      </c>
    </row>
    <row r="61" spans="1:8">
      <c r="A61" s="24">
        <v>2018</v>
      </c>
      <c r="B61">
        <v>0.11765</v>
      </c>
      <c r="C61">
        <v>7.0299999999999998E-3</v>
      </c>
      <c r="D61" s="27">
        <f t="shared" si="0"/>
        <v>4.1353975000000001E-2</v>
      </c>
      <c r="E61" s="27">
        <f t="shared" si="1"/>
        <v>2.8758989898812515</v>
      </c>
      <c r="F61" s="27">
        <f t="shared" si="2"/>
        <v>6.234</v>
      </c>
      <c r="G61" s="27">
        <f t="shared" si="3"/>
        <v>0.28758989898812509</v>
      </c>
      <c r="H61" s="27">
        <v>8.2163482291258819E-2</v>
      </c>
    </row>
    <row r="62" spans="1:8">
      <c r="A62">
        <v>2019</v>
      </c>
      <c r="B62">
        <v>2.9860000000000001E-2</v>
      </c>
      <c r="C62">
        <v>0.71097999999999995</v>
      </c>
      <c r="D62" s="27">
        <f t="shared" si="0"/>
        <v>1.0614931400000001</v>
      </c>
      <c r="E62" s="27">
        <f t="shared" si="1"/>
        <v>14.570471097394208</v>
      </c>
      <c r="F62" s="27">
        <f t="shared" si="2"/>
        <v>37.041999999999994</v>
      </c>
      <c r="G62" s="27">
        <f t="shared" si="3"/>
        <v>1.4570471097394209</v>
      </c>
      <c r="H62" s="27">
        <v>0.62617684218376013</v>
      </c>
    </row>
    <row r="63" spans="1:8">
      <c r="A63">
        <v>2019</v>
      </c>
      <c r="B63">
        <v>2.9860000000000001E-2</v>
      </c>
      <c r="C63">
        <v>7.7649999999999997E-2</v>
      </c>
      <c r="D63" s="27">
        <f t="shared" si="0"/>
        <v>0.11593145000000001</v>
      </c>
      <c r="E63" s="27">
        <f t="shared" si="1"/>
        <v>4.8152144292855752</v>
      </c>
      <c r="F63" s="27">
        <f t="shared" si="2"/>
        <v>5.3754999999999997</v>
      </c>
      <c r="G63" s="27">
        <f t="shared" si="3"/>
        <v>0.48152144292855747</v>
      </c>
      <c r="H63" s="27">
        <v>8.4058619468214302E-2</v>
      </c>
    </row>
    <row r="64" spans="1:8">
      <c r="A64">
        <v>2019</v>
      </c>
      <c r="B64">
        <v>2.9860000000000001E-2</v>
      </c>
      <c r="C64">
        <v>2.0930000000000001E-2</v>
      </c>
      <c r="D64" s="27">
        <f t="shared" si="0"/>
        <v>3.124849E-2</v>
      </c>
      <c r="E64" s="27">
        <f t="shared" si="1"/>
        <v>2.4999395992703501</v>
      </c>
      <c r="F64" s="27">
        <f t="shared" si="2"/>
        <v>2.5395000000000003</v>
      </c>
      <c r="G64" s="27">
        <f t="shared" si="3"/>
        <v>0.24999395992703505</v>
      </c>
      <c r="H64" s="27">
        <v>3.5507829361647807E-2</v>
      </c>
    </row>
    <row r="65" spans="1:8">
      <c r="A65">
        <v>2019</v>
      </c>
      <c r="B65">
        <v>2.9860000000000001E-2</v>
      </c>
      <c r="C65">
        <v>7.1900000000000002E-3</v>
      </c>
      <c r="D65" s="27">
        <f t="shared" si="0"/>
        <v>1.073467E-2</v>
      </c>
      <c r="E65" s="27">
        <f t="shared" si="1"/>
        <v>1.4652419595411537</v>
      </c>
      <c r="F65" s="27">
        <f t="shared" si="2"/>
        <v>1.8525</v>
      </c>
      <c r="G65" s="27">
        <f t="shared" si="3"/>
        <v>0.14652419595411537</v>
      </c>
      <c r="H65" s="27">
        <v>2.3741200124478171E-2</v>
      </c>
    </row>
    <row r="66" spans="1:8">
      <c r="A66">
        <v>2019</v>
      </c>
      <c r="B66">
        <v>2.9860000000000001E-2</v>
      </c>
      <c r="C66">
        <v>9.5899999999999996E-3</v>
      </c>
      <c r="D66" s="27">
        <f t="shared" ref="D66:D129" si="4">((B66*C66)/2)*100</f>
        <v>1.4317870000000002E-2</v>
      </c>
      <c r="E66" s="27">
        <f t="shared" ref="E66:E129" si="5">(SQRT(B66*C66))*100</f>
        <v>1.692209797867865</v>
      </c>
      <c r="F66" s="27">
        <f t="shared" ref="F66:F129" si="6">(AVERAGE(B66:C66))*100</f>
        <v>1.9724999999999999</v>
      </c>
      <c r="G66" s="27">
        <f t="shared" ref="G66:G129" si="7">SQRT((B66*C66)*100)</f>
        <v>0.16922097978678649</v>
      </c>
      <c r="H66" s="27">
        <v>2.579193501895137E-2</v>
      </c>
    </row>
    <row r="67" spans="1:8">
      <c r="A67">
        <v>2019</v>
      </c>
      <c r="B67">
        <v>2.9860000000000001E-2</v>
      </c>
      <c r="C67">
        <v>1.1339999999999999E-2</v>
      </c>
      <c r="D67" s="27">
        <f t="shared" si="4"/>
        <v>1.693062E-2</v>
      </c>
      <c r="E67" s="27">
        <f t="shared" si="5"/>
        <v>1.8401423857951862</v>
      </c>
      <c r="F67" s="27">
        <f t="shared" si="6"/>
        <v>2.06</v>
      </c>
      <c r="G67" s="27">
        <f t="shared" si="7"/>
        <v>0.18401423857951862</v>
      </c>
      <c r="H67" s="27">
        <v>2.7297719382026089E-2</v>
      </c>
    </row>
    <row r="68" spans="1:8">
      <c r="A68">
        <v>2019</v>
      </c>
      <c r="B68">
        <v>0.26112000000000002</v>
      </c>
      <c r="C68">
        <v>0.71097999999999995</v>
      </c>
      <c r="D68" s="27">
        <f t="shared" si="4"/>
        <v>9.2825548800000011</v>
      </c>
      <c r="E68" s="27">
        <f t="shared" si="5"/>
        <v>43.087248415279433</v>
      </c>
      <c r="F68" s="27">
        <f t="shared" si="6"/>
        <v>48.604999999999997</v>
      </c>
      <c r="G68" s="27">
        <f t="shared" si="7"/>
        <v>4.3087248415279431</v>
      </c>
      <c r="H68" s="27">
        <v>0.81843682374148674</v>
      </c>
    </row>
    <row r="69" spans="1:8">
      <c r="A69">
        <v>2019</v>
      </c>
      <c r="B69">
        <v>0.26112000000000002</v>
      </c>
      <c r="C69">
        <v>7.7649999999999997E-2</v>
      </c>
      <c r="D69" s="27">
        <f t="shared" si="4"/>
        <v>1.0137984</v>
      </c>
      <c r="E69" s="27">
        <f t="shared" si="5"/>
        <v>14.239370772614921</v>
      </c>
      <c r="F69" s="27">
        <f t="shared" si="6"/>
        <v>16.938500000000001</v>
      </c>
      <c r="G69" s="27">
        <f t="shared" si="7"/>
        <v>1.4239370772614919</v>
      </c>
      <c r="H69" s="27">
        <v>0.27631860102594102</v>
      </c>
    </row>
    <row r="70" spans="1:8">
      <c r="A70">
        <v>2019</v>
      </c>
      <c r="B70">
        <v>0.26112000000000002</v>
      </c>
      <c r="C70">
        <v>2.0930000000000001E-2</v>
      </c>
      <c r="D70" s="27">
        <f t="shared" si="4"/>
        <v>0.27326208000000002</v>
      </c>
      <c r="E70" s="27">
        <f t="shared" si="5"/>
        <v>7.3927272369538972</v>
      </c>
      <c r="F70" s="27">
        <f t="shared" si="6"/>
        <v>14.102500000000001</v>
      </c>
      <c r="G70" s="27">
        <f t="shared" si="7"/>
        <v>0.73927272369538977</v>
      </c>
      <c r="H70" s="27">
        <v>0.22776781091937451</v>
      </c>
    </row>
    <row r="71" spans="1:8">
      <c r="A71">
        <v>2019</v>
      </c>
      <c r="B71">
        <v>0.26112000000000002</v>
      </c>
      <c r="C71">
        <v>7.1900000000000002E-3</v>
      </c>
      <c r="D71" s="27">
        <f t="shared" si="4"/>
        <v>9.3872640000000007E-2</v>
      </c>
      <c r="E71" s="27">
        <f t="shared" si="5"/>
        <v>4.3329583427492127</v>
      </c>
      <c r="F71" s="27">
        <f t="shared" si="6"/>
        <v>13.4155</v>
      </c>
      <c r="G71" s="27">
        <f t="shared" si="7"/>
        <v>0.43329583427492124</v>
      </c>
      <c r="H71" s="27">
        <v>0.21600118168220489</v>
      </c>
    </row>
    <row r="72" spans="1:8">
      <c r="A72">
        <v>2019</v>
      </c>
      <c r="B72">
        <v>0.26112000000000002</v>
      </c>
      <c r="C72">
        <v>9.5899999999999996E-3</v>
      </c>
      <c r="D72" s="27">
        <f t="shared" si="4"/>
        <v>0.12520703999999999</v>
      </c>
      <c r="E72" s="27">
        <f t="shared" si="5"/>
        <v>5.0041390867960489</v>
      </c>
      <c r="F72" s="27">
        <f t="shared" si="6"/>
        <v>13.535500000000001</v>
      </c>
      <c r="G72" s="27">
        <f t="shared" si="7"/>
        <v>0.50041390867960489</v>
      </c>
      <c r="H72" s="27">
        <v>0.21805191657667811</v>
      </c>
    </row>
    <row r="73" spans="1:8">
      <c r="A73">
        <v>2019</v>
      </c>
      <c r="B73">
        <v>0.26112000000000002</v>
      </c>
      <c r="C73">
        <v>1.1339999999999999E-2</v>
      </c>
      <c r="D73" s="27">
        <f t="shared" si="4"/>
        <v>0.14805504</v>
      </c>
      <c r="E73" s="27">
        <f t="shared" si="5"/>
        <v>5.4415997647750611</v>
      </c>
      <c r="F73" s="27">
        <f t="shared" si="6"/>
        <v>13.623000000000001</v>
      </c>
      <c r="G73" s="27">
        <f t="shared" si="7"/>
        <v>0.54415997647750614</v>
      </c>
      <c r="H73" s="27">
        <v>0.2195577009397528</v>
      </c>
    </row>
    <row r="74" spans="1:8">
      <c r="A74">
        <v>2019</v>
      </c>
      <c r="B74">
        <v>0.26917999999999997</v>
      </c>
      <c r="C74">
        <v>0.71097999999999995</v>
      </c>
      <c r="D74" s="27">
        <f t="shared" si="4"/>
        <v>9.5690798199999989</v>
      </c>
      <c r="E74" s="27">
        <f t="shared" si="5"/>
        <v>43.74718235498144</v>
      </c>
      <c r="F74" s="27">
        <f t="shared" si="6"/>
        <v>49.007999999999996</v>
      </c>
      <c r="G74" s="27">
        <f t="shared" si="7"/>
        <v>4.3747182354981442</v>
      </c>
      <c r="H74" s="27">
        <v>0.82514114935803373</v>
      </c>
    </row>
    <row r="75" spans="1:8">
      <c r="A75">
        <v>2019</v>
      </c>
      <c r="B75">
        <v>0.26917999999999997</v>
      </c>
      <c r="C75">
        <v>7.7649999999999997E-2</v>
      </c>
      <c r="D75" s="27">
        <f t="shared" si="4"/>
        <v>1.0450913499999999</v>
      </c>
      <c r="E75" s="27">
        <f t="shared" si="5"/>
        <v>14.457464162155132</v>
      </c>
      <c r="F75" s="27">
        <f t="shared" si="6"/>
        <v>17.3415</v>
      </c>
      <c r="G75" s="27">
        <f t="shared" si="7"/>
        <v>1.4457464162155131</v>
      </c>
      <c r="H75" s="27">
        <v>0.28302292664248802</v>
      </c>
    </row>
    <row r="76" spans="1:8">
      <c r="A76">
        <v>2019</v>
      </c>
      <c r="B76">
        <v>0.26917999999999997</v>
      </c>
      <c r="C76">
        <v>2.0930000000000001E-2</v>
      </c>
      <c r="D76" s="27">
        <f t="shared" si="4"/>
        <v>0.28169686999999999</v>
      </c>
      <c r="E76" s="27">
        <f t="shared" si="5"/>
        <v>7.5059559018155708</v>
      </c>
      <c r="F76" s="27">
        <f t="shared" si="6"/>
        <v>14.5055</v>
      </c>
      <c r="G76" s="27">
        <f t="shared" si="7"/>
        <v>0.75059559018155708</v>
      </c>
      <c r="H76" s="27">
        <v>0.23447213653592161</v>
      </c>
    </row>
    <row r="77" spans="1:8">
      <c r="A77">
        <v>2019</v>
      </c>
      <c r="B77">
        <v>0.26917999999999997</v>
      </c>
      <c r="C77">
        <v>7.1900000000000002E-3</v>
      </c>
      <c r="D77" s="27">
        <f t="shared" si="4"/>
        <v>9.6770209999999995E-2</v>
      </c>
      <c r="E77" s="27">
        <f t="shared" si="5"/>
        <v>4.3993229024476026</v>
      </c>
      <c r="F77" s="27">
        <f t="shared" si="6"/>
        <v>13.818499999999997</v>
      </c>
      <c r="G77" s="27">
        <f t="shared" si="7"/>
        <v>0.43993229024476027</v>
      </c>
      <c r="H77" s="27">
        <v>0.22270550729875191</v>
      </c>
    </row>
    <row r="78" spans="1:8">
      <c r="A78">
        <v>2019</v>
      </c>
      <c r="B78">
        <v>0.26917999999999997</v>
      </c>
      <c r="C78">
        <v>9.5899999999999996E-3</v>
      </c>
      <c r="D78" s="27">
        <f t="shared" si="4"/>
        <v>0.12907180999999998</v>
      </c>
      <c r="E78" s="27">
        <f t="shared" si="5"/>
        <v>5.0807836009812499</v>
      </c>
      <c r="F78" s="27">
        <f t="shared" si="6"/>
        <v>13.938499999999998</v>
      </c>
      <c r="G78" s="27">
        <f t="shared" si="7"/>
        <v>0.50807836009812501</v>
      </c>
      <c r="H78" s="27">
        <v>0.2247562421932251</v>
      </c>
    </row>
    <row r="79" spans="1:8">
      <c r="A79">
        <v>2019</v>
      </c>
      <c r="B79">
        <v>0.26917999999999997</v>
      </c>
      <c r="C79">
        <v>1.1339999999999999E-2</v>
      </c>
      <c r="D79" s="27">
        <f t="shared" si="4"/>
        <v>0.15262505999999998</v>
      </c>
      <c r="E79" s="27">
        <f t="shared" si="5"/>
        <v>5.5249445246083688</v>
      </c>
      <c r="F79" s="27">
        <f t="shared" si="6"/>
        <v>14.026</v>
      </c>
      <c r="G79" s="27">
        <f t="shared" si="7"/>
        <v>0.55249445246083695</v>
      </c>
      <c r="H79" s="27">
        <v>0.22626202655629979</v>
      </c>
    </row>
    <row r="80" spans="1:8">
      <c r="A80">
        <v>2019</v>
      </c>
      <c r="B80">
        <v>1.627E-2</v>
      </c>
      <c r="C80">
        <v>0.71097999999999995</v>
      </c>
      <c r="D80" s="27">
        <f t="shared" si="4"/>
        <v>0.57838223</v>
      </c>
      <c r="E80" s="27">
        <f t="shared" si="5"/>
        <v>10.75529850817726</v>
      </c>
      <c r="F80" s="27">
        <f t="shared" si="6"/>
        <v>36.362499999999997</v>
      </c>
      <c r="G80" s="27">
        <f t="shared" si="7"/>
        <v>1.075529850817726</v>
      </c>
      <c r="H80" s="27">
        <v>0.61488345946069967</v>
      </c>
    </row>
    <row r="81" spans="1:8">
      <c r="A81">
        <v>2019</v>
      </c>
      <c r="B81">
        <v>1.627E-2</v>
      </c>
      <c r="C81">
        <v>7.7649999999999997E-2</v>
      </c>
      <c r="D81" s="27">
        <f t="shared" si="4"/>
        <v>6.3168274999999996E-2</v>
      </c>
      <c r="E81" s="27">
        <f t="shared" si="5"/>
        <v>3.5543853195735546</v>
      </c>
      <c r="F81" s="27">
        <f t="shared" si="6"/>
        <v>4.6959999999999997</v>
      </c>
      <c r="G81" s="27">
        <f t="shared" si="7"/>
        <v>0.35543853195735547</v>
      </c>
      <c r="H81" s="27">
        <v>7.2765236745153866E-2</v>
      </c>
    </row>
    <row r="82" spans="1:8">
      <c r="A82">
        <v>2019</v>
      </c>
      <c r="B82">
        <v>1.627E-2</v>
      </c>
      <c r="C82">
        <v>2.0930000000000001E-2</v>
      </c>
      <c r="D82" s="27">
        <f t="shared" si="4"/>
        <v>1.7026555000000002E-2</v>
      </c>
      <c r="E82" s="27">
        <f t="shared" si="5"/>
        <v>1.8453484765756305</v>
      </c>
      <c r="F82" s="27">
        <f t="shared" si="6"/>
        <v>1.8599999999999999</v>
      </c>
      <c r="G82" s="27">
        <f t="shared" si="7"/>
        <v>0.18453484765756306</v>
      </c>
      <c r="H82" s="27">
        <v>2.4214446638587361E-2</v>
      </c>
    </row>
    <row r="83" spans="1:8">
      <c r="A83">
        <v>2019</v>
      </c>
      <c r="B83">
        <v>1.627E-2</v>
      </c>
      <c r="C83">
        <v>7.1900000000000002E-3</v>
      </c>
      <c r="D83" s="27">
        <f t="shared" si="4"/>
        <v>5.8490650000000005E-3</v>
      </c>
      <c r="E83" s="27">
        <f t="shared" si="5"/>
        <v>1.081578938404405</v>
      </c>
      <c r="F83" s="27">
        <f t="shared" si="6"/>
        <v>1.173</v>
      </c>
      <c r="G83" s="27">
        <f t="shared" si="7"/>
        <v>0.10815789384044051</v>
      </c>
      <c r="H83" s="27">
        <v>1.2447817401417731E-2</v>
      </c>
    </row>
    <row r="84" spans="1:8">
      <c r="A84">
        <v>2019</v>
      </c>
      <c r="B84">
        <v>1.627E-2</v>
      </c>
      <c r="C84">
        <v>9.5899999999999996E-3</v>
      </c>
      <c r="D84" s="27">
        <f t="shared" si="4"/>
        <v>7.8014649999999996E-3</v>
      </c>
      <c r="E84" s="27">
        <f t="shared" si="5"/>
        <v>1.2491168880453101</v>
      </c>
      <c r="F84" s="27">
        <f t="shared" si="6"/>
        <v>1.2930000000000001</v>
      </c>
      <c r="G84" s="27">
        <f t="shared" si="7"/>
        <v>0.12491168880453102</v>
      </c>
      <c r="H84" s="27">
        <v>1.4498552295890929E-2</v>
      </c>
    </row>
    <row r="85" spans="1:8">
      <c r="A85">
        <v>2019</v>
      </c>
      <c r="B85">
        <v>1.627E-2</v>
      </c>
      <c r="C85">
        <v>1.1339999999999999E-2</v>
      </c>
      <c r="D85" s="27">
        <f t="shared" si="4"/>
        <v>9.2250899999999983E-3</v>
      </c>
      <c r="E85" s="27">
        <f t="shared" si="5"/>
        <v>1.3583143965960163</v>
      </c>
      <c r="F85" s="27">
        <f t="shared" si="6"/>
        <v>1.3805000000000001</v>
      </c>
      <c r="G85" s="27">
        <f t="shared" si="7"/>
        <v>0.13583143965960162</v>
      </c>
      <c r="H85" s="27">
        <v>1.600433665896565E-2</v>
      </c>
    </row>
    <row r="86" spans="1:8">
      <c r="A86">
        <v>2019</v>
      </c>
      <c r="B86">
        <v>6.5390000000000004E-2</v>
      </c>
      <c r="C86">
        <v>0.71097999999999995</v>
      </c>
      <c r="D86" s="27">
        <f t="shared" si="4"/>
        <v>2.32454911</v>
      </c>
      <c r="E86" s="27">
        <f t="shared" si="5"/>
        <v>21.561767599155687</v>
      </c>
      <c r="F86" s="27">
        <f t="shared" si="6"/>
        <v>38.8185</v>
      </c>
      <c r="G86" s="27">
        <f t="shared" si="7"/>
        <v>2.1561767599155686</v>
      </c>
      <c r="H86" s="27">
        <v>0.65571889730694033</v>
      </c>
    </row>
    <row r="87" spans="1:8">
      <c r="A87">
        <v>2019</v>
      </c>
      <c r="B87">
        <v>6.5390000000000004E-2</v>
      </c>
      <c r="C87">
        <v>7.7649999999999997E-2</v>
      </c>
      <c r="D87" s="27">
        <f t="shared" si="4"/>
        <v>0.253876675</v>
      </c>
      <c r="E87" s="27">
        <f t="shared" si="5"/>
        <v>7.1256813709286781</v>
      </c>
      <c r="F87" s="27">
        <f t="shared" si="6"/>
        <v>7.1520000000000001</v>
      </c>
      <c r="G87" s="27">
        <f t="shared" si="7"/>
        <v>0.71256813709286781</v>
      </c>
      <c r="H87" s="27">
        <v>0.1136006745913946</v>
      </c>
    </row>
    <row r="88" spans="1:8">
      <c r="A88">
        <v>2019</v>
      </c>
      <c r="B88">
        <v>6.5390000000000004E-2</v>
      </c>
      <c r="C88">
        <v>2.0930000000000001E-2</v>
      </c>
      <c r="D88" s="27">
        <f t="shared" si="4"/>
        <v>6.8430635000000004E-2</v>
      </c>
      <c r="E88" s="27">
        <f t="shared" si="5"/>
        <v>3.6994765845995028</v>
      </c>
      <c r="F88" s="27">
        <f t="shared" si="6"/>
        <v>4.3160000000000007</v>
      </c>
      <c r="G88" s="27">
        <f t="shared" si="7"/>
        <v>0.36994765845995026</v>
      </c>
      <c r="H88" s="27">
        <v>6.5049884484828124E-2</v>
      </c>
    </row>
    <row r="89" spans="1:8">
      <c r="A89">
        <v>2019</v>
      </c>
      <c r="B89">
        <v>6.5390000000000004E-2</v>
      </c>
      <c r="C89">
        <v>7.1900000000000002E-3</v>
      </c>
      <c r="D89" s="27">
        <f t="shared" si="4"/>
        <v>2.3507705000000004E-2</v>
      </c>
      <c r="E89" s="27">
        <f t="shared" si="5"/>
        <v>2.1683037148886686</v>
      </c>
      <c r="F89" s="27">
        <f t="shared" si="6"/>
        <v>3.6290000000000004</v>
      </c>
      <c r="G89" s="27">
        <f t="shared" si="7"/>
        <v>0.21683037148886686</v>
      </c>
      <c r="H89" s="27">
        <v>5.3283255247658493E-2</v>
      </c>
    </row>
    <row r="90" spans="1:8">
      <c r="A90">
        <v>2019</v>
      </c>
      <c r="B90">
        <v>6.5390000000000004E-2</v>
      </c>
      <c r="C90">
        <v>9.5899999999999996E-3</v>
      </c>
      <c r="D90" s="27">
        <f t="shared" si="4"/>
        <v>3.1354504999999998E-2</v>
      </c>
      <c r="E90" s="27">
        <f t="shared" si="5"/>
        <v>2.5041767110170161</v>
      </c>
      <c r="F90" s="27">
        <f t="shared" si="6"/>
        <v>3.7490000000000001</v>
      </c>
      <c r="G90" s="27">
        <f t="shared" si="7"/>
        <v>0.2504176711017016</v>
      </c>
      <c r="H90" s="27">
        <v>5.5333990142131688E-2</v>
      </c>
    </row>
    <row r="91" spans="1:8">
      <c r="A91">
        <v>2019</v>
      </c>
      <c r="B91">
        <v>6.5390000000000004E-2</v>
      </c>
      <c r="C91">
        <v>1.1339999999999999E-2</v>
      </c>
      <c r="D91" s="27">
        <f t="shared" si="4"/>
        <v>3.7076129999999999E-2</v>
      </c>
      <c r="E91" s="27">
        <f t="shared" si="5"/>
        <v>2.723091258110899</v>
      </c>
      <c r="F91" s="27">
        <f t="shared" si="6"/>
        <v>3.8365000000000005</v>
      </c>
      <c r="G91" s="27">
        <f t="shared" si="7"/>
        <v>0.2723091258110899</v>
      </c>
      <c r="H91" s="27">
        <v>5.6839774505206407E-2</v>
      </c>
    </row>
    <row r="92" spans="1:8">
      <c r="A92">
        <v>2019</v>
      </c>
      <c r="B92">
        <v>4.0299999999999997E-3</v>
      </c>
      <c r="C92">
        <v>0.71097999999999995</v>
      </c>
      <c r="D92" s="27">
        <f t="shared" si="4"/>
        <v>0.14326246999999998</v>
      </c>
      <c r="E92" s="27">
        <f t="shared" si="5"/>
        <v>5.3528024435803712</v>
      </c>
      <c r="F92" s="27">
        <f t="shared" si="6"/>
        <v>35.750499999999995</v>
      </c>
      <c r="G92" s="27">
        <f t="shared" si="7"/>
        <v>0.53528024435803712</v>
      </c>
      <c r="H92" s="27">
        <v>0.60470148900562293</v>
      </c>
    </row>
    <row r="93" spans="1:8">
      <c r="A93">
        <v>2019</v>
      </c>
      <c r="B93">
        <v>4.0299999999999997E-3</v>
      </c>
      <c r="C93">
        <v>7.7649999999999997E-2</v>
      </c>
      <c r="D93" s="27">
        <f t="shared" si="4"/>
        <v>1.5646475E-2</v>
      </c>
      <c r="E93" s="27">
        <f t="shared" si="5"/>
        <v>1.7689813452945173</v>
      </c>
      <c r="F93" s="27">
        <f t="shared" si="6"/>
        <v>4.0840000000000005</v>
      </c>
      <c r="G93" s="27">
        <f t="shared" si="7"/>
        <v>0.17689813452945172</v>
      </c>
      <c r="H93" s="27">
        <v>6.2583266290077155E-2</v>
      </c>
    </row>
    <row r="94" spans="1:8">
      <c r="A94">
        <v>2019</v>
      </c>
      <c r="B94">
        <v>4.0299999999999997E-3</v>
      </c>
      <c r="C94">
        <v>2.0930000000000001E-2</v>
      </c>
      <c r="D94" s="27">
        <f t="shared" si="4"/>
        <v>4.2173949999999997E-3</v>
      </c>
      <c r="E94" s="27">
        <f t="shared" si="5"/>
        <v>0.91841112798136326</v>
      </c>
      <c r="F94" s="27">
        <f t="shared" si="6"/>
        <v>1.248</v>
      </c>
      <c r="G94" s="27">
        <f t="shared" si="7"/>
        <v>9.1841112798136323E-2</v>
      </c>
      <c r="H94" s="27">
        <v>1.403247618351065E-2</v>
      </c>
    </row>
    <row r="95" spans="1:8">
      <c r="A95">
        <v>2019</v>
      </c>
      <c r="B95">
        <v>4.0299999999999997E-3</v>
      </c>
      <c r="C95">
        <v>7.1900000000000002E-3</v>
      </c>
      <c r="D95" s="27">
        <f t="shared" si="4"/>
        <v>1.448785E-3</v>
      </c>
      <c r="E95" s="27">
        <f t="shared" si="5"/>
        <v>0.53829081359428743</v>
      </c>
      <c r="F95" s="27">
        <f t="shared" si="6"/>
        <v>0.56100000000000005</v>
      </c>
      <c r="G95" s="27">
        <f t="shared" si="7"/>
        <v>5.3829081359428751E-2</v>
      </c>
      <c r="H95" s="27">
        <v>2.265846946341017E-3</v>
      </c>
    </row>
    <row r="96" spans="1:8">
      <c r="A96">
        <v>2019</v>
      </c>
      <c r="B96">
        <v>4.0299999999999997E-3</v>
      </c>
      <c r="C96">
        <v>9.5899999999999996E-3</v>
      </c>
      <c r="D96" s="27">
        <f t="shared" si="4"/>
        <v>1.9323849999999996E-3</v>
      </c>
      <c r="E96" s="27">
        <f t="shared" si="5"/>
        <v>0.62167274349130019</v>
      </c>
      <c r="F96" s="27">
        <f t="shared" si="6"/>
        <v>0.68100000000000005</v>
      </c>
      <c r="G96" s="27">
        <f t="shared" si="7"/>
        <v>6.2167274349130018E-2</v>
      </c>
      <c r="H96" s="27">
        <v>4.3165818408142133E-3</v>
      </c>
    </row>
    <row r="97" spans="1:8">
      <c r="A97">
        <v>2019</v>
      </c>
      <c r="B97">
        <v>4.0299999999999997E-3</v>
      </c>
      <c r="C97">
        <v>1.1339999999999999E-2</v>
      </c>
      <c r="D97" s="27">
        <f t="shared" si="4"/>
        <v>2.2850099999999996E-3</v>
      </c>
      <c r="E97" s="27">
        <f t="shared" si="5"/>
        <v>0.67601923049570123</v>
      </c>
      <c r="F97" s="27">
        <f t="shared" si="6"/>
        <v>0.76849999999999996</v>
      </c>
      <c r="G97" s="27">
        <f t="shared" si="7"/>
        <v>6.760192304957012E-2</v>
      </c>
      <c r="H97" s="27">
        <v>5.8223662038889394E-3</v>
      </c>
    </row>
    <row r="98" spans="1:8">
      <c r="A98">
        <v>2019</v>
      </c>
      <c r="B98">
        <v>1.6719999999999999E-2</v>
      </c>
      <c r="C98">
        <v>0.71097999999999995</v>
      </c>
      <c r="D98" s="27">
        <f t="shared" si="4"/>
        <v>0.59437927999999995</v>
      </c>
      <c r="E98" s="27">
        <f t="shared" si="5"/>
        <v>10.903020498925974</v>
      </c>
      <c r="F98" s="27">
        <f t="shared" si="6"/>
        <v>36.384999999999998</v>
      </c>
      <c r="G98" s="27">
        <f t="shared" si="7"/>
        <v>1.0903020498925975</v>
      </c>
      <c r="H98" s="27">
        <v>0.61525632035060396</v>
      </c>
    </row>
    <row r="99" spans="1:8">
      <c r="A99">
        <v>2019</v>
      </c>
      <c r="B99">
        <v>1.6719999999999999E-2</v>
      </c>
      <c r="C99">
        <v>7.7649999999999997E-2</v>
      </c>
      <c r="D99" s="27">
        <f t="shared" si="4"/>
        <v>6.4915399999999984E-2</v>
      </c>
      <c r="E99" s="27">
        <f t="shared" si="5"/>
        <v>3.6032041296601558</v>
      </c>
      <c r="F99" s="27">
        <f t="shared" si="6"/>
        <v>4.7184999999999997</v>
      </c>
      <c r="G99" s="27">
        <f t="shared" si="7"/>
        <v>0.36032041296601552</v>
      </c>
      <c r="H99" s="27">
        <v>7.3138097635058102E-2</v>
      </c>
    </row>
    <row r="100" spans="1:8">
      <c r="A100">
        <v>2019</v>
      </c>
      <c r="B100">
        <v>1.6719999999999999E-2</v>
      </c>
      <c r="C100">
        <v>2.0930000000000001E-2</v>
      </c>
      <c r="D100" s="27">
        <f t="shared" si="4"/>
        <v>1.7497479999999999E-2</v>
      </c>
      <c r="E100" s="27">
        <f t="shared" si="5"/>
        <v>1.8706939888715097</v>
      </c>
      <c r="F100" s="27">
        <f t="shared" si="6"/>
        <v>1.8825000000000001</v>
      </c>
      <c r="G100" s="27">
        <f t="shared" si="7"/>
        <v>0.18706939888715096</v>
      </c>
      <c r="H100" s="27">
        <v>2.458730752849159E-2</v>
      </c>
    </row>
    <row r="101" spans="1:8">
      <c r="A101">
        <v>2019</v>
      </c>
      <c r="B101">
        <v>1.6719999999999999E-2</v>
      </c>
      <c r="C101">
        <v>7.1900000000000002E-3</v>
      </c>
      <c r="D101" s="27">
        <f t="shared" si="4"/>
        <v>6.0108399999999999E-3</v>
      </c>
      <c r="E101" s="27">
        <f t="shared" si="5"/>
        <v>1.096434220553153</v>
      </c>
      <c r="F101" s="27">
        <f t="shared" si="6"/>
        <v>1.1955</v>
      </c>
      <c r="G101" s="27">
        <f t="shared" si="7"/>
        <v>0.1096434220553153</v>
      </c>
      <c r="H101" s="27">
        <v>1.2820678291321949E-2</v>
      </c>
    </row>
    <row r="102" spans="1:8">
      <c r="A102">
        <v>2019</v>
      </c>
      <c r="B102">
        <v>1.6719999999999999E-2</v>
      </c>
      <c r="C102">
        <v>9.5899999999999996E-3</v>
      </c>
      <c r="D102" s="27">
        <f t="shared" si="4"/>
        <v>8.0172399999999984E-3</v>
      </c>
      <c r="E102" s="27">
        <f t="shared" si="5"/>
        <v>1.2662732722441867</v>
      </c>
      <c r="F102" s="27">
        <f t="shared" si="6"/>
        <v>1.3155000000000001</v>
      </c>
      <c r="G102" s="27">
        <f t="shared" si="7"/>
        <v>0.12662732722441866</v>
      </c>
      <c r="H102" s="27">
        <v>1.487141318579515E-2</v>
      </c>
    </row>
    <row r="103" spans="1:8">
      <c r="A103">
        <v>2019</v>
      </c>
      <c r="B103">
        <v>1.6719999999999999E-2</v>
      </c>
      <c r="C103">
        <v>1.1339999999999999E-2</v>
      </c>
      <c r="D103" s="27">
        <f t="shared" si="4"/>
        <v>9.4802399999999992E-3</v>
      </c>
      <c r="E103" s="27">
        <f t="shared" si="5"/>
        <v>1.37697058792118</v>
      </c>
      <c r="F103" s="27">
        <f t="shared" si="6"/>
        <v>1.4029999999999998</v>
      </c>
      <c r="G103" s="27">
        <f t="shared" si="7"/>
        <v>0.13769705879211799</v>
      </c>
      <c r="H103" s="27">
        <v>1.6377197548869869E-2</v>
      </c>
    </row>
    <row r="104" spans="1:8">
      <c r="A104">
        <v>2019</v>
      </c>
      <c r="B104">
        <v>7.4599999999999996E-3</v>
      </c>
      <c r="C104">
        <v>0.71097999999999995</v>
      </c>
      <c r="D104" s="27">
        <f t="shared" si="4"/>
        <v>0.26519554000000001</v>
      </c>
      <c r="E104" s="27">
        <f t="shared" si="5"/>
        <v>7.2827953424492167</v>
      </c>
      <c r="F104" s="27">
        <f t="shared" si="6"/>
        <v>35.921999999999997</v>
      </c>
      <c r="G104" s="27">
        <f t="shared" si="7"/>
        <v>0.72827953424492164</v>
      </c>
      <c r="H104" s="27">
        <v>0.60756247929546492</v>
      </c>
    </row>
    <row r="105" spans="1:8">
      <c r="A105">
        <v>2019</v>
      </c>
      <c r="B105">
        <v>7.4599999999999996E-3</v>
      </c>
      <c r="C105">
        <v>7.7649999999999997E-2</v>
      </c>
      <c r="D105" s="27">
        <f t="shared" si="4"/>
        <v>2.8963449999999998E-2</v>
      </c>
      <c r="E105" s="27">
        <f t="shared" si="5"/>
        <v>2.4068007811200327</v>
      </c>
      <c r="F105" s="27">
        <f t="shared" si="6"/>
        <v>4.2554999999999996</v>
      </c>
      <c r="G105" s="27">
        <f t="shared" si="7"/>
        <v>0.24068007811200326</v>
      </c>
      <c r="H105" s="27">
        <v>6.5444256579919147E-2</v>
      </c>
    </row>
    <row r="106" spans="1:8">
      <c r="A106">
        <v>2019</v>
      </c>
      <c r="B106">
        <v>7.4599999999999996E-3</v>
      </c>
      <c r="C106">
        <v>2.0930000000000001E-2</v>
      </c>
      <c r="D106" s="27">
        <f t="shared" si="4"/>
        <v>7.8068899999999995E-3</v>
      </c>
      <c r="E106" s="27">
        <f t="shared" si="5"/>
        <v>1.2495511194024838</v>
      </c>
      <c r="F106" s="27">
        <f t="shared" si="6"/>
        <v>1.4195</v>
      </c>
      <c r="G106" s="27">
        <f t="shared" si="7"/>
        <v>0.12495511194024836</v>
      </c>
      <c r="H106" s="27">
        <v>1.6893466473352631E-2</v>
      </c>
    </row>
    <row r="107" spans="1:8">
      <c r="A107">
        <v>2019</v>
      </c>
      <c r="B107">
        <v>7.4599999999999996E-3</v>
      </c>
      <c r="C107">
        <v>7.1900000000000002E-3</v>
      </c>
      <c r="D107" s="27">
        <f t="shared" si="4"/>
        <v>2.6818699999999998E-3</v>
      </c>
      <c r="E107" s="27">
        <f t="shared" si="5"/>
        <v>0.73237558670398062</v>
      </c>
      <c r="F107" s="27">
        <f t="shared" si="6"/>
        <v>0.73250000000000004</v>
      </c>
      <c r="G107" s="27">
        <f t="shared" si="7"/>
        <v>7.3237558670398065E-2</v>
      </c>
      <c r="H107" s="27">
        <v>5.1268372361829928E-3</v>
      </c>
    </row>
    <row r="108" spans="1:8">
      <c r="A108">
        <v>2019</v>
      </c>
      <c r="B108">
        <v>7.4599999999999996E-3</v>
      </c>
      <c r="C108">
        <v>9.5899999999999996E-3</v>
      </c>
      <c r="D108" s="27">
        <f t="shared" si="4"/>
        <v>3.5770699999999999E-3</v>
      </c>
      <c r="E108" s="27">
        <f t="shared" si="5"/>
        <v>0.84582149417001695</v>
      </c>
      <c r="F108" s="27">
        <f t="shared" si="6"/>
        <v>0.85249999999999992</v>
      </c>
      <c r="G108" s="27">
        <f t="shared" si="7"/>
        <v>8.4582149417001692E-2</v>
      </c>
      <c r="H108" s="27">
        <v>7.17757213065619E-3</v>
      </c>
    </row>
    <row r="109" spans="1:8">
      <c r="A109">
        <v>2019</v>
      </c>
      <c r="B109">
        <v>7.4599999999999996E-3</v>
      </c>
      <c r="C109">
        <v>1.1339999999999999E-2</v>
      </c>
      <c r="D109" s="27">
        <f t="shared" si="4"/>
        <v>4.2298199999999996E-3</v>
      </c>
      <c r="E109" s="27">
        <f t="shared" si="5"/>
        <v>0.91976301295496765</v>
      </c>
      <c r="F109" s="27">
        <f t="shared" si="6"/>
        <v>0.93999999999999984</v>
      </c>
      <c r="G109" s="27">
        <f t="shared" si="7"/>
        <v>9.1976301295496762E-2</v>
      </c>
      <c r="H109" s="27">
        <v>8.6833564937309152E-3</v>
      </c>
    </row>
    <row r="110" spans="1:8">
      <c r="A110">
        <v>2019</v>
      </c>
      <c r="B110">
        <v>3.3140000000000003E-2</v>
      </c>
      <c r="C110">
        <v>0.71097999999999995</v>
      </c>
      <c r="D110" s="27">
        <f t="shared" si="4"/>
        <v>1.1780938600000002</v>
      </c>
      <c r="E110" s="27">
        <f t="shared" si="5"/>
        <v>15.349878566294914</v>
      </c>
      <c r="F110" s="27">
        <f t="shared" si="6"/>
        <v>37.205999999999996</v>
      </c>
      <c r="G110" s="27">
        <f t="shared" si="7"/>
        <v>1.5349878566294914</v>
      </c>
      <c r="H110" s="27">
        <v>0.6289087652424814</v>
      </c>
    </row>
    <row r="111" spans="1:8">
      <c r="A111">
        <v>2019</v>
      </c>
      <c r="B111">
        <v>3.3140000000000003E-2</v>
      </c>
      <c r="C111">
        <v>7.7649999999999997E-2</v>
      </c>
      <c r="D111" s="27">
        <f t="shared" si="4"/>
        <v>0.12866605</v>
      </c>
      <c r="E111" s="27">
        <f t="shared" si="5"/>
        <v>5.0727911449220935</v>
      </c>
      <c r="F111" s="27">
        <f t="shared" si="6"/>
        <v>5.5395000000000003</v>
      </c>
      <c r="G111" s="27">
        <f t="shared" si="7"/>
        <v>0.5072791144922093</v>
      </c>
      <c r="H111" s="27">
        <v>8.6790542526935591E-2</v>
      </c>
    </row>
    <row r="112" spans="1:8">
      <c r="A112">
        <v>2019</v>
      </c>
      <c r="B112">
        <v>3.3140000000000003E-2</v>
      </c>
      <c r="C112">
        <v>2.0930000000000001E-2</v>
      </c>
      <c r="D112" s="27">
        <f t="shared" si="4"/>
        <v>3.4681010000000005E-2</v>
      </c>
      <c r="E112" s="27">
        <f t="shared" si="5"/>
        <v>2.6336670252710386</v>
      </c>
      <c r="F112" s="27">
        <f t="shared" si="6"/>
        <v>2.7035000000000005</v>
      </c>
      <c r="G112" s="27">
        <f t="shared" si="7"/>
        <v>0.26336670252710387</v>
      </c>
      <c r="H112" s="27">
        <v>3.8239752420369102E-2</v>
      </c>
    </row>
    <row r="113" spans="1:8">
      <c r="A113">
        <v>2019</v>
      </c>
      <c r="B113">
        <v>3.3140000000000003E-2</v>
      </c>
      <c r="C113">
        <v>7.1900000000000002E-3</v>
      </c>
      <c r="D113" s="27">
        <f t="shared" si="4"/>
        <v>1.1913830000000002E-2</v>
      </c>
      <c r="E113" s="27">
        <f t="shared" si="5"/>
        <v>1.5436210674903348</v>
      </c>
      <c r="F113" s="27">
        <f t="shared" si="6"/>
        <v>2.0165000000000002</v>
      </c>
      <c r="G113" s="27">
        <f t="shared" si="7"/>
        <v>0.15436210674903347</v>
      </c>
      <c r="H113" s="27">
        <v>2.647312318319946E-2</v>
      </c>
    </row>
    <row r="114" spans="1:8">
      <c r="A114">
        <v>2019</v>
      </c>
      <c r="B114">
        <v>3.3140000000000003E-2</v>
      </c>
      <c r="C114">
        <v>9.5899999999999996E-3</v>
      </c>
      <c r="D114" s="27">
        <f t="shared" si="4"/>
        <v>1.5890629999999999E-2</v>
      </c>
      <c r="E114" s="27">
        <f t="shared" si="5"/>
        <v>1.7827299290694594</v>
      </c>
      <c r="F114" s="27">
        <f t="shared" si="6"/>
        <v>2.1365000000000003</v>
      </c>
      <c r="G114" s="27">
        <f t="shared" si="7"/>
        <v>0.17827299290694595</v>
      </c>
      <c r="H114" s="27">
        <v>2.8523858077672659E-2</v>
      </c>
    </row>
    <row r="115" spans="1:8">
      <c r="A115">
        <v>2019</v>
      </c>
      <c r="B115">
        <v>3.3140000000000003E-2</v>
      </c>
      <c r="C115">
        <v>1.1339999999999999E-2</v>
      </c>
      <c r="D115" s="27">
        <f t="shared" si="4"/>
        <v>1.8790380000000002E-2</v>
      </c>
      <c r="E115" s="27">
        <f t="shared" si="5"/>
        <v>1.9385757658652396</v>
      </c>
      <c r="F115" s="27">
        <f t="shared" si="6"/>
        <v>2.2240000000000002</v>
      </c>
      <c r="G115" s="27">
        <f t="shared" si="7"/>
        <v>0.19385757658652397</v>
      </c>
      <c r="H115" s="27">
        <v>3.0029642440747389E-2</v>
      </c>
    </row>
    <row r="116" spans="1:8">
      <c r="A116">
        <v>2019</v>
      </c>
      <c r="B116" s="1">
        <v>0.1593</v>
      </c>
      <c r="C116">
        <v>0.71097999999999995</v>
      </c>
      <c r="D116" s="27">
        <f t="shared" si="4"/>
        <v>5.6629556999999995</v>
      </c>
      <c r="E116" s="27">
        <f t="shared" si="5"/>
        <v>33.653991442323743</v>
      </c>
      <c r="F116" s="27">
        <f t="shared" si="6"/>
        <v>43.513999999999996</v>
      </c>
      <c r="G116" s="27">
        <f t="shared" si="7"/>
        <v>3.3653991442323745</v>
      </c>
      <c r="H116" s="27">
        <v>0.73379023133150045</v>
      </c>
    </row>
    <row r="117" spans="1:8">
      <c r="A117">
        <v>2019</v>
      </c>
      <c r="B117" s="1">
        <v>0.1593</v>
      </c>
      <c r="C117">
        <v>7.7649999999999997E-2</v>
      </c>
      <c r="D117" s="27">
        <f t="shared" si="4"/>
        <v>0.6184822499999999</v>
      </c>
      <c r="E117" s="27">
        <f t="shared" si="5"/>
        <v>11.121890576696032</v>
      </c>
      <c r="F117" s="27">
        <f t="shared" si="6"/>
        <v>11.8475</v>
      </c>
      <c r="G117" s="27">
        <f t="shared" si="7"/>
        <v>1.1121890576696032</v>
      </c>
      <c r="H117" s="27">
        <v>0.19167200861595471</v>
      </c>
    </row>
    <row r="118" spans="1:8">
      <c r="A118">
        <v>2019</v>
      </c>
      <c r="B118" s="1">
        <v>0.1593</v>
      </c>
      <c r="C118">
        <v>2.0930000000000001E-2</v>
      </c>
      <c r="D118" s="27">
        <f t="shared" si="4"/>
        <v>0.16670745000000001</v>
      </c>
      <c r="E118" s="27">
        <f t="shared" si="5"/>
        <v>5.7742090367426089</v>
      </c>
      <c r="F118" s="27">
        <f t="shared" si="6"/>
        <v>9.0114999999999998</v>
      </c>
      <c r="G118" s="27">
        <f t="shared" si="7"/>
        <v>0.5774209036742608</v>
      </c>
      <c r="H118" s="27">
        <v>0.14312121850938819</v>
      </c>
    </row>
    <row r="119" spans="1:8">
      <c r="A119">
        <v>2019</v>
      </c>
      <c r="B119" s="1">
        <v>0.1593</v>
      </c>
      <c r="C119">
        <v>7.1900000000000002E-3</v>
      </c>
      <c r="D119" s="27">
        <f t="shared" si="4"/>
        <v>5.7268350000000003E-2</v>
      </c>
      <c r="E119" s="27">
        <f t="shared" si="5"/>
        <v>3.3843271118495624</v>
      </c>
      <c r="F119" s="27">
        <f t="shared" si="6"/>
        <v>8.3245000000000005</v>
      </c>
      <c r="G119" s="27">
        <f t="shared" si="7"/>
        <v>0.33843271118495621</v>
      </c>
      <c r="H119" s="27">
        <v>0.13135458927221849</v>
      </c>
    </row>
    <row r="120" spans="1:8">
      <c r="A120">
        <v>2019</v>
      </c>
      <c r="B120" s="1">
        <v>0.1593</v>
      </c>
      <c r="C120">
        <v>9.5899999999999996E-3</v>
      </c>
      <c r="D120" s="27">
        <f t="shared" si="4"/>
        <v>7.6384350000000004E-2</v>
      </c>
      <c r="E120" s="27">
        <f t="shared" si="5"/>
        <v>3.9085636748043391</v>
      </c>
      <c r="F120" s="27">
        <f t="shared" si="6"/>
        <v>8.4444999999999997</v>
      </c>
      <c r="G120" s="27">
        <f t="shared" si="7"/>
        <v>0.39085636748043395</v>
      </c>
      <c r="H120" s="27">
        <v>0.13340532416669171</v>
      </c>
    </row>
    <row r="121" spans="1:8">
      <c r="A121">
        <v>2019</v>
      </c>
      <c r="B121" s="1">
        <v>0.1593</v>
      </c>
      <c r="C121">
        <v>1.1339999999999999E-2</v>
      </c>
      <c r="D121" s="27">
        <f t="shared" si="4"/>
        <v>9.032309999999999E-2</v>
      </c>
      <c r="E121" s="27">
        <f t="shared" si="5"/>
        <v>4.2502494044467554</v>
      </c>
      <c r="F121" s="27">
        <f t="shared" si="6"/>
        <v>8.532</v>
      </c>
      <c r="G121" s="27">
        <f t="shared" si="7"/>
        <v>0.42502494044467554</v>
      </c>
      <c r="H121" s="27">
        <v>0.13491110852976651</v>
      </c>
    </row>
    <row r="122" spans="1:8">
      <c r="A122">
        <v>2020</v>
      </c>
      <c r="B122">
        <v>3.2989999999999998E-2</v>
      </c>
      <c r="C122">
        <v>0.87953000000000003</v>
      </c>
      <c r="D122" s="27">
        <f t="shared" si="4"/>
        <v>1.450784735</v>
      </c>
      <c r="E122" s="27">
        <f t="shared" si="5"/>
        <v>17.033993865209652</v>
      </c>
      <c r="F122" s="27">
        <f t="shared" si="6"/>
        <v>45.625999999999998</v>
      </c>
      <c r="G122" s="27">
        <f t="shared" si="7"/>
        <v>1.7033993865209651</v>
      </c>
      <c r="H122" s="27">
        <v>0.64707856322358304</v>
      </c>
    </row>
    <row r="123" spans="1:8">
      <c r="A123">
        <v>2020</v>
      </c>
      <c r="B123">
        <v>3.2989999999999998E-2</v>
      </c>
      <c r="C123">
        <v>8.3239999999999995E-2</v>
      </c>
      <c r="D123" s="27">
        <f t="shared" si="4"/>
        <v>0.13730437999999998</v>
      </c>
      <c r="E123" s="27">
        <f t="shared" si="5"/>
        <v>5.2403125860963673</v>
      </c>
      <c r="F123" s="27">
        <f t="shared" si="6"/>
        <v>5.8114999999999997</v>
      </c>
      <c r="G123" s="27">
        <f t="shared" si="7"/>
        <v>0.52403125860963673</v>
      </c>
      <c r="H123" s="27">
        <v>7.6106643950833969E-2</v>
      </c>
    </row>
    <row r="124" spans="1:8">
      <c r="A124">
        <v>2020</v>
      </c>
      <c r="B124">
        <v>3.2989999999999998E-2</v>
      </c>
      <c r="C124">
        <v>1.47E-2</v>
      </c>
      <c r="D124" s="27">
        <f t="shared" si="4"/>
        <v>2.4247649999999996E-2</v>
      </c>
      <c r="E124" s="27">
        <f t="shared" si="5"/>
        <v>2.2021648439660457</v>
      </c>
      <c r="F124" s="27">
        <f t="shared" si="6"/>
        <v>2.3844999999999996</v>
      </c>
      <c r="G124" s="27">
        <f t="shared" si="7"/>
        <v>0.22021648439660457</v>
      </c>
      <c r="H124" s="27">
        <v>2.696071050076651E-2</v>
      </c>
    </row>
    <row r="125" spans="1:8">
      <c r="A125">
        <v>2020</v>
      </c>
      <c r="B125">
        <v>3.2989999999999998E-2</v>
      </c>
      <c r="C125">
        <v>5.9100000000000003E-3</v>
      </c>
      <c r="D125" s="27">
        <f t="shared" si="4"/>
        <v>9.7485449999999991E-3</v>
      </c>
      <c r="E125" s="27">
        <f t="shared" si="5"/>
        <v>1.3963198057751669</v>
      </c>
      <c r="F125" s="27">
        <f t="shared" si="6"/>
        <v>1.9449999999999998</v>
      </c>
      <c r="G125" s="27">
        <f t="shared" si="7"/>
        <v>0.13963198057751669</v>
      </c>
      <c r="H125" s="27">
        <v>2.065792738103945E-2</v>
      </c>
    </row>
    <row r="126" spans="1:8">
      <c r="A126">
        <v>2020</v>
      </c>
      <c r="B126">
        <v>3.2989999999999998E-2</v>
      </c>
      <c r="C126">
        <v>6.2300000000000003E-3</v>
      </c>
      <c r="D126" s="27">
        <f t="shared" si="4"/>
        <v>1.0276384999999999E-2</v>
      </c>
      <c r="E126" s="27">
        <f t="shared" si="5"/>
        <v>1.4336237302723474</v>
      </c>
      <c r="F126" s="27">
        <f t="shared" si="6"/>
        <v>1.9609999999999999</v>
      </c>
      <c r="G126" s="27">
        <f t="shared" si="7"/>
        <v>0.14336237302723473</v>
      </c>
      <c r="H126" s="27">
        <v>2.0887380236365119E-2</v>
      </c>
    </row>
    <row r="127" spans="1:8">
      <c r="A127">
        <v>2020</v>
      </c>
      <c r="B127">
        <v>3.2989999999999998E-2</v>
      </c>
      <c r="C127">
        <v>1.039E-2</v>
      </c>
      <c r="D127" s="27">
        <f t="shared" si="4"/>
        <v>1.7138305E-2</v>
      </c>
      <c r="E127" s="27">
        <f t="shared" si="5"/>
        <v>1.8513943394101644</v>
      </c>
      <c r="F127" s="27">
        <f t="shared" si="6"/>
        <v>2.169</v>
      </c>
      <c r="G127" s="27">
        <f t="shared" si="7"/>
        <v>0.18513943394101645</v>
      </c>
      <c r="H127" s="27">
        <v>2.387026735559886E-2</v>
      </c>
    </row>
    <row r="128" spans="1:8">
      <c r="A128">
        <v>2020</v>
      </c>
      <c r="B128">
        <v>0.31651000000000001</v>
      </c>
      <c r="C128">
        <v>0.87953000000000003</v>
      </c>
      <c r="D128" s="27">
        <f t="shared" si="4"/>
        <v>13.919002015</v>
      </c>
      <c r="E128" s="27">
        <f t="shared" si="5"/>
        <v>52.761732372999283</v>
      </c>
      <c r="F128" s="27">
        <f t="shared" si="6"/>
        <v>59.802</v>
      </c>
      <c r="G128" s="27">
        <f t="shared" si="7"/>
        <v>5.2761732372999282</v>
      </c>
      <c r="H128" s="27">
        <v>0.85037379304212879</v>
      </c>
    </row>
    <row r="129" spans="1:8">
      <c r="A129">
        <v>2020</v>
      </c>
      <c r="B129">
        <v>0.31651000000000001</v>
      </c>
      <c r="C129">
        <v>8.3239999999999995E-2</v>
      </c>
      <c r="D129" s="27">
        <f t="shared" si="4"/>
        <v>1.3173146199999999</v>
      </c>
      <c r="E129" s="27">
        <f t="shared" si="5"/>
        <v>16.231541023575055</v>
      </c>
      <c r="F129" s="27">
        <f t="shared" si="6"/>
        <v>19.987500000000001</v>
      </c>
      <c r="G129" s="27">
        <f t="shared" si="7"/>
        <v>1.6231541023575056</v>
      </c>
      <c r="H129" s="27">
        <v>0.27940187376937969</v>
      </c>
    </row>
    <row r="130" spans="1:8">
      <c r="A130">
        <v>2020</v>
      </c>
      <c r="B130">
        <v>0.31651000000000001</v>
      </c>
      <c r="C130">
        <v>1.47E-2</v>
      </c>
      <c r="D130" s="27">
        <f t="shared" ref="D130:D193" si="8">((B130*C130)/2)*100</f>
        <v>0.23263485</v>
      </c>
      <c r="E130" s="27">
        <f t="shared" ref="E130:E193" si="9">(SQRT(B130*C130))*100</f>
        <v>6.8210680981793459</v>
      </c>
      <c r="F130" s="27">
        <f t="shared" ref="F130:F193" si="10">(AVERAGE(B130:C130))*100</f>
        <v>16.560500000000001</v>
      </c>
      <c r="G130" s="27">
        <f t="shared" ref="G130:G193" si="11">SQRT((B130*C130)*100)</f>
        <v>0.68210680981793459</v>
      </c>
      <c r="H130" s="27">
        <v>0.23025594031931229</v>
      </c>
    </row>
    <row r="131" spans="1:8">
      <c r="A131">
        <v>2020</v>
      </c>
      <c r="B131">
        <v>0.31651000000000001</v>
      </c>
      <c r="C131">
        <v>5.9100000000000003E-3</v>
      </c>
      <c r="D131" s="27">
        <f t="shared" si="8"/>
        <v>9.3528705000000004E-2</v>
      </c>
      <c r="E131" s="27">
        <f t="shared" si="9"/>
        <v>4.3250134103838338</v>
      </c>
      <c r="F131" s="27">
        <f t="shared" si="10"/>
        <v>16.121000000000002</v>
      </c>
      <c r="G131" s="27">
        <f t="shared" si="11"/>
        <v>0.43250134103838339</v>
      </c>
      <c r="H131" s="27">
        <v>0.22395315719958531</v>
      </c>
    </row>
    <row r="132" spans="1:8">
      <c r="A132">
        <v>2020</v>
      </c>
      <c r="B132">
        <v>0.31651000000000001</v>
      </c>
      <c r="C132">
        <v>6.2300000000000003E-3</v>
      </c>
      <c r="D132" s="27">
        <f t="shared" si="8"/>
        <v>9.8592865000000002E-2</v>
      </c>
      <c r="E132" s="27">
        <f t="shared" si="9"/>
        <v>4.4405599872088208</v>
      </c>
      <c r="F132" s="27">
        <f t="shared" si="10"/>
        <v>16.137</v>
      </c>
      <c r="G132" s="27">
        <f t="shared" si="11"/>
        <v>0.44405599872088203</v>
      </c>
      <c r="H132" s="27">
        <v>0.22418261005491091</v>
      </c>
    </row>
    <row r="133" spans="1:8">
      <c r="A133">
        <v>2020</v>
      </c>
      <c r="B133">
        <v>0.31651000000000001</v>
      </c>
      <c r="C133">
        <v>1.039E-2</v>
      </c>
      <c r="D133" s="27">
        <f t="shared" si="8"/>
        <v>0.16442694499999999</v>
      </c>
      <c r="E133" s="27">
        <f t="shared" si="9"/>
        <v>5.7345783628790015</v>
      </c>
      <c r="F133" s="27">
        <f t="shared" si="10"/>
        <v>16.345000000000002</v>
      </c>
      <c r="G133" s="27">
        <f t="shared" si="11"/>
        <v>0.57345783628790004</v>
      </c>
      <c r="H133" s="27">
        <v>0.22716549717414469</v>
      </c>
    </row>
    <row r="134" spans="1:8">
      <c r="A134">
        <v>2020</v>
      </c>
      <c r="B134">
        <v>0.34159</v>
      </c>
      <c r="C134">
        <v>0.87953000000000003</v>
      </c>
      <c r="D134" s="27">
        <f t="shared" si="8"/>
        <v>15.021932635000002</v>
      </c>
      <c r="E134" s="27">
        <f t="shared" si="9"/>
        <v>54.812284453396032</v>
      </c>
      <c r="F134" s="27">
        <f t="shared" si="10"/>
        <v>61.055999999999997</v>
      </c>
      <c r="G134" s="27">
        <f t="shared" si="11"/>
        <v>5.4812284453396032</v>
      </c>
      <c r="H134" s="27">
        <v>0.86835716057827839</v>
      </c>
    </row>
    <row r="135" spans="1:8">
      <c r="A135">
        <v>2020</v>
      </c>
      <c r="B135">
        <v>0.34159</v>
      </c>
      <c r="C135">
        <v>8.3239999999999995E-2</v>
      </c>
      <c r="D135" s="27">
        <f t="shared" si="8"/>
        <v>1.42169758</v>
      </c>
      <c r="E135" s="27">
        <f t="shared" si="9"/>
        <v>16.862369821587951</v>
      </c>
      <c r="F135" s="27">
        <f t="shared" si="10"/>
        <v>21.241499999999998</v>
      </c>
      <c r="G135" s="27">
        <f t="shared" si="11"/>
        <v>1.6862369821587948</v>
      </c>
      <c r="H135" s="27">
        <v>0.29738524130552929</v>
      </c>
    </row>
    <row r="136" spans="1:8">
      <c r="A136">
        <v>2020</v>
      </c>
      <c r="B136">
        <v>0.34159</v>
      </c>
      <c r="C136">
        <v>1.47E-2</v>
      </c>
      <c r="D136" s="27">
        <f t="shared" si="8"/>
        <v>0.25106865</v>
      </c>
      <c r="E136" s="27">
        <f t="shared" si="9"/>
        <v>7.0861646890260737</v>
      </c>
      <c r="F136" s="27">
        <f t="shared" si="10"/>
        <v>17.814499999999999</v>
      </c>
      <c r="G136" s="27">
        <f t="shared" si="11"/>
        <v>0.70861646890260743</v>
      </c>
      <c r="H136" s="27">
        <v>0.24823930785546189</v>
      </c>
    </row>
    <row r="137" spans="1:8">
      <c r="A137">
        <v>2020</v>
      </c>
      <c r="B137">
        <v>0.34159</v>
      </c>
      <c r="C137">
        <v>5.9100000000000003E-3</v>
      </c>
      <c r="D137" s="27">
        <f t="shared" si="8"/>
        <v>0.100939845</v>
      </c>
      <c r="E137" s="27">
        <f t="shared" si="9"/>
        <v>4.4931023803158547</v>
      </c>
      <c r="F137" s="27">
        <f t="shared" si="10"/>
        <v>17.375</v>
      </c>
      <c r="G137" s="27">
        <f t="shared" si="11"/>
        <v>0.44931023803158548</v>
      </c>
      <c r="H137" s="27">
        <v>0.24193652473573479</v>
      </c>
    </row>
    <row r="138" spans="1:8">
      <c r="A138">
        <v>2020</v>
      </c>
      <c r="B138">
        <v>0.34159</v>
      </c>
      <c r="C138">
        <v>6.2300000000000003E-3</v>
      </c>
      <c r="D138" s="27">
        <f t="shared" si="8"/>
        <v>0.106405285</v>
      </c>
      <c r="E138" s="27">
        <f t="shared" si="9"/>
        <v>4.6131396033504126</v>
      </c>
      <c r="F138" s="27">
        <f t="shared" si="10"/>
        <v>17.391000000000002</v>
      </c>
      <c r="G138" s="27">
        <f t="shared" si="11"/>
        <v>0.46131396033504124</v>
      </c>
      <c r="H138" s="27">
        <v>0.24216597759106051</v>
      </c>
    </row>
    <row r="139" spans="1:8">
      <c r="A139">
        <v>2020</v>
      </c>
      <c r="B139">
        <v>0.34159</v>
      </c>
      <c r="C139">
        <v>1.039E-2</v>
      </c>
      <c r="D139" s="27">
        <f t="shared" si="8"/>
        <v>0.177456005</v>
      </c>
      <c r="E139" s="27">
        <f t="shared" si="9"/>
        <v>5.9574492024691237</v>
      </c>
      <c r="F139" s="27">
        <f t="shared" si="10"/>
        <v>17.599</v>
      </c>
      <c r="G139" s="27">
        <f t="shared" si="11"/>
        <v>0.59574492024691239</v>
      </c>
      <c r="H139" s="27">
        <v>0.24514886471029421</v>
      </c>
    </row>
    <row r="140" spans="1:8">
      <c r="A140">
        <v>2020</v>
      </c>
      <c r="B140">
        <v>1.8360000000000001E-2</v>
      </c>
      <c r="C140">
        <v>0.87953000000000003</v>
      </c>
      <c r="D140" s="27">
        <f t="shared" si="8"/>
        <v>0.80740853999999995</v>
      </c>
      <c r="E140" s="27">
        <f t="shared" si="9"/>
        <v>12.707545317644946</v>
      </c>
      <c r="F140" s="27">
        <f t="shared" si="10"/>
        <v>44.894500000000001</v>
      </c>
      <c r="G140" s="27">
        <f t="shared" si="11"/>
        <v>1.2707545317644946</v>
      </c>
      <c r="H140" s="27">
        <v>0.63658826549416248</v>
      </c>
    </row>
    <row r="141" spans="1:8">
      <c r="A141">
        <v>2020</v>
      </c>
      <c r="B141">
        <v>1.8360000000000001E-2</v>
      </c>
      <c r="C141">
        <v>8.3239999999999995E-2</v>
      </c>
      <c r="D141" s="27">
        <f t="shared" si="8"/>
        <v>7.6414319999999994E-2</v>
      </c>
      <c r="E141" s="27">
        <f t="shared" si="9"/>
        <v>3.9093303774431751</v>
      </c>
      <c r="F141" s="27">
        <f t="shared" si="10"/>
        <v>5.08</v>
      </c>
      <c r="G141" s="27">
        <f t="shared" si="11"/>
        <v>0.39093303774431754</v>
      </c>
      <c r="H141" s="27">
        <v>6.5616346221413394E-2</v>
      </c>
    </row>
    <row r="142" spans="1:8">
      <c r="A142">
        <v>2020</v>
      </c>
      <c r="B142">
        <v>1.8360000000000001E-2</v>
      </c>
      <c r="C142">
        <v>1.47E-2</v>
      </c>
      <c r="D142" s="27">
        <f t="shared" si="8"/>
        <v>1.3494600000000002E-2</v>
      </c>
      <c r="E142" s="27">
        <f t="shared" si="9"/>
        <v>1.6428390061110676</v>
      </c>
      <c r="F142" s="27">
        <f t="shared" si="10"/>
        <v>1.653</v>
      </c>
      <c r="G142" s="27">
        <f t="shared" si="11"/>
        <v>0.16428390061110676</v>
      </c>
      <c r="H142" s="27">
        <v>1.6470412771345921E-2</v>
      </c>
    </row>
    <row r="143" spans="1:8">
      <c r="A143">
        <v>2020</v>
      </c>
      <c r="B143">
        <v>1.8360000000000001E-2</v>
      </c>
      <c r="C143">
        <v>5.9100000000000003E-3</v>
      </c>
      <c r="D143" s="27">
        <f t="shared" si="8"/>
        <v>5.4253800000000005E-3</v>
      </c>
      <c r="E143" s="27">
        <f t="shared" si="9"/>
        <v>1.0416698133285807</v>
      </c>
      <c r="F143" s="27">
        <f t="shared" si="10"/>
        <v>1.2135</v>
      </c>
      <c r="G143" s="27">
        <f t="shared" si="11"/>
        <v>0.10416698133285807</v>
      </c>
      <c r="H143" s="27">
        <v>1.0167629651618861E-2</v>
      </c>
    </row>
    <row r="144" spans="1:8">
      <c r="A144">
        <v>2020</v>
      </c>
      <c r="B144">
        <v>1.8360000000000001E-2</v>
      </c>
      <c r="C144">
        <v>6.2300000000000003E-3</v>
      </c>
      <c r="D144" s="27">
        <f t="shared" si="8"/>
        <v>5.719140000000001E-3</v>
      </c>
      <c r="E144" s="27">
        <f t="shared" si="9"/>
        <v>1.0694989481060746</v>
      </c>
      <c r="F144" s="27">
        <f t="shared" si="10"/>
        <v>1.2295</v>
      </c>
      <c r="G144" s="27">
        <f t="shared" si="11"/>
        <v>0.10694989481060747</v>
      </c>
      <c r="H144" s="27">
        <v>1.039708250694453E-2</v>
      </c>
    </row>
    <row r="145" spans="1:8">
      <c r="A145">
        <v>2020</v>
      </c>
      <c r="B145">
        <v>1.8360000000000001E-2</v>
      </c>
      <c r="C145">
        <v>1.039E-2</v>
      </c>
      <c r="D145" s="27">
        <f t="shared" si="8"/>
        <v>9.5380200000000012E-3</v>
      </c>
      <c r="E145" s="27">
        <f t="shared" si="9"/>
        <v>1.3811603817080769</v>
      </c>
      <c r="F145" s="27">
        <f t="shared" si="10"/>
        <v>1.4375</v>
      </c>
      <c r="G145" s="27">
        <f t="shared" si="11"/>
        <v>0.13811603817080767</v>
      </c>
      <c r="H145" s="27">
        <v>1.3379969626178269E-2</v>
      </c>
    </row>
    <row r="146" spans="1:8">
      <c r="A146">
        <v>2020</v>
      </c>
      <c r="B146">
        <v>8.7940000000000004E-2</v>
      </c>
      <c r="C146">
        <v>0.87953000000000003</v>
      </c>
      <c r="D146" s="27">
        <f t="shared" si="8"/>
        <v>3.8672934100000003</v>
      </c>
      <c r="E146" s="27">
        <f t="shared" si="9"/>
        <v>27.811125148041029</v>
      </c>
      <c r="F146" s="27">
        <f t="shared" si="10"/>
        <v>48.3735</v>
      </c>
      <c r="G146" s="27">
        <f t="shared" si="11"/>
        <v>2.7811125148041027</v>
      </c>
      <c r="H146" s="27">
        <v>0.68647992072403841</v>
      </c>
    </row>
    <row r="147" spans="1:8">
      <c r="A147">
        <v>2020</v>
      </c>
      <c r="B147">
        <v>8.7940000000000004E-2</v>
      </c>
      <c r="C147">
        <v>8.3239999999999995E-2</v>
      </c>
      <c r="D147" s="27">
        <f t="shared" si="8"/>
        <v>0.36600627999999996</v>
      </c>
      <c r="E147" s="27">
        <f t="shared" si="9"/>
        <v>8.5557732555275212</v>
      </c>
      <c r="F147" s="27">
        <f t="shared" si="10"/>
        <v>8.5589999999999993</v>
      </c>
      <c r="G147" s="27">
        <f t="shared" si="11"/>
        <v>0.85557732555275212</v>
      </c>
      <c r="H147" s="27">
        <v>0.1155080014512893</v>
      </c>
    </row>
    <row r="148" spans="1:8">
      <c r="A148">
        <v>2020</v>
      </c>
      <c r="B148">
        <v>8.7940000000000004E-2</v>
      </c>
      <c r="C148">
        <v>1.47E-2</v>
      </c>
      <c r="D148" s="27">
        <f t="shared" si="8"/>
        <v>6.4635899999999996E-2</v>
      </c>
      <c r="E148" s="27">
        <f t="shared" si="9"/>
        <v>3.5954387771174745</v>
      </c>
      <c r="F148" s="27">
        <f t="shared" si="10"/>
        <v>5.1320000000000006</v>
      </c>
      <c r="G148" s="27">
        <f t="shared" si="11"/>
        <v>0.35954387771174745</v>
      </c>
      <c r="H148" s="27">
        <v>6.6362068001221824E-2</v>
      </c>
    </row>
    <row r="149" spans="1:8">
      <c r="A149">
        <v>2020</v>
      </c>
      <c r="B149">
        <v>8.7940000000000004E-2</v>
      </c>
      <c r="C149">
        <v>5.9100000000000003E-3</v>
      </c>
      <c r="D149" s="27">
        <f t="shared" si="8"/>
        <v>2.5986270000000006E-2</v>
      </c>
      <c r="E149" s="27">
        <f t="shared" si="9"/>
        <v>2.2797486703582046</v>
      </c>
      <c r="F149" s="27">
        <f t="shared" si="10"/>
        <v>4.6924999999999999</v>
      </c>
      <c r="G149" s="27">
        <f t="shared" si="11"/>
        <v>0.22797486703582046</v>
      </c>
      <c r="H149" s="27">
        <v>6.0059284881494757E-2</v>
      </c>
    </row>
    <row r="150" spans="1:8">
      <c r="A150">
        <v>2020</v>
      </c>
      <c r="B150">
        <v>8.7940000000000004E-2</v>
      </c>
      <c r="C150">
        <v>6.2300000000000003E-3</v>
      </c>
      <c r="D150" s="27">
        <f t="shared" si="8"/>
        <v>2.7393310000000001E-2</v>
      </c>
      <c r="E150" s="27">
        <f t="shared" si="9"/>
        <v>2.3406541820610749</v>
      </c>
      <c r="F150" s="27">
        <f t="shared" si="10"/>
        <v>4.7084999999999999</v>
      </c>
      <c r="G150" s="27">
        <f t="shared" si="11"/>
        <v>0.23406541820610749</v>
      </c>
      <c r="H150" s="27">
        <v>6.0288737736820433E-2</v>
      </c>
    </row>
    <row r="151" spans="1:8">
      <c r="A151">
        <v>2020</v>
      </c>
      <c r="B151">
        <v>8.7940000000000004E-2</v>
      </c>
      <c r="C151">
        <v>1.039E-2</v>
      </c>
      <c r="D151" s="27">
        <f t="shared" si="8"/>
        <v>4.5684830000000003E-2</v>
      </c>
      <c r="E151" s="27">
        <f t="shared" si="9"/>
        <v>3.0227414709167575</v>
      </c>
      <c r="F151" s="27">
        <f t="shared" si="10"/>
        <v>4.9165000000000001</v>
      </c>
      <c r="G151" s="27">
        <f t="shared" si="11"/>
        <v>0.30227414709167572</v>
      </c>
      <c r="H151" s="27">
        <v>6.3271624856054171E-2</v>
      </c>
    </row>
    <row r="152" spans="1:8">
      <c r="A152">
        <v>2020</v>
      </c>
      <c r="B152">
        <v>4.1799999999999997E-3</v>
      </c>
      <c r="C152">
        <v>0.87953000000000003</v>
      </c>
      <c r="D152" s="27">
        <f t="shared" si="8"/>
        <v>0.18382177</v>
      </c>
      <c r="E152" s="27">
        <f t="shared" si="9"/>
        <v>6.063361608876713</v>
      </c>
      <c r="F152" s="27">
        <f t="shared" si="10"/>
        <v>44.185499999999998</v>
      </c>
      <c r="G152" s="27">
        <f t="shared" si="11"/>
        <v>0.60633616088767128</v>
      </c>
      <c r="H152" s="27">
        <v>0.62642063584254359</v>
      </c>
    </row>
    <row r="153" spans="1:8">
      <c r="A153">
        <v>2020</v>
      </c>
      <c r="B153">
        <v>4.1799999999999997E-3</v>
      </c>
      <c r="C153">
        <v>8.3239999999999995E-2</v>
      </c>
      <c r="D153" s="27">
        <f t="shared" si="8"/>
        <v>1.7397159999999995E-2</v>
      </c>
      <c r="E153" s="27">
        <f t="shared" si="9"/>
        <v>1.8653235644252177</v>
      </c>
      <c r="F153" s="27">
        <f t="shared" si="10"/>
        <v>4.3709999999999996</v>
      </c>
      <c r="G153" s="27">
        <f t="shared" si="11"/>
        <v>0.18653235644252175</v>
      </c>
      <c r="H153" s="27">
        <v>5.5448716569794519E-2</v>
      </c>
    </row>
    <row r="154" spans="1:8">
      <c r="A154">
        <v>2020</v>
      </c>
      <c r="B154">
        <v>4.1799999999999997E-3</v>
      </c>
      <c r="C154">
        <v>1.47E-2</v>
      </c>
      <c r="D154" s="27">
        <f t="shared" si="8"/>
        <v>3.0722999999999996E-3</v>
      </c>
      <c r="E154" s="27">
        <f t="shared" si="9"/>
        <v>0.78387499003348737</v>
      </c>
      <c r="F154" s="27">
        <f t="shared" si="10"/>
        <v>0.94400000000000006</v>
      </c>
      <c r="G154" s="27">
        <f t="shared" si="11"/>
        <v>7.8387499003348737E-2</v>
      </c>
      <c r="H154" s="27">
        <v>6.3027831197270661E-3</v>
      </c>
    </row>
    <row r="155" spans="1:8">
      <c r="A155">
        <v>2020</v>
      </c>
      <c r="B155">
        <v>4.1799999999999997E-3</v>
      </c>
      <c r="C155">
        <v>5.9100000000000003E-3</v>
      </c>
      <c r="D155" s="27">
        <f t="shared" si="8"/>
        <v>1.2351899999999999E-3</v>
      </c>
      <c r="E155" s="27">
        <f t="shared" si="9"/>
        <v>0.49702917419403059</v>
      </c>
      <c r="F155" s="27">
        <f t="shared" si="10"/>
        <v>0.50449999999999995</v>
      </c>
      <c r="G155" s="27">
        <f t="shared" si="11"/>
        <v>4.970291741940306E-2</v>
      </c>
      <c r="H155" s="27">
        <v>0</v>
      </c>
    </row>
    <row r="156" spans="1:8">
      <c r="A156">
        <v>2020</v>
      </c>
      <c r="B156">
        <v>4.1799999999999997E-3</v>
      </c>
      <c r="C156">
        <v>6.2300000000000003E-3</v>
      </c>
      <c r="D156" s="27">
        <f t="shared" si="8"/>
        <v>1.3020699999999998E-3</v>
      </c>
      <c r="E156" s="27">
        <f t="shared" si="9"/>
        <v>0.51030775028408104</v>
      </c>
      <c r="F156" s="27">
        <f t="shared" si="10"/>
        <v>0.52049999999999996</v>
      </c>
      <c r="G156" s="27">
        <f t="shared" si="11"/>
        <v>5.1030775028408096E-2</v>
      </c>
      <c r="H156" s="27">
        <v>2.2945285532567259E-4</v>
      </c>
    </row>
    <row r="157" spans="1:8">
      <c r="A157">
        <v>2020</v>
      </c>
      <c r="B157">
        <v>4.1799999999999997E-3</v>
      </c>
      <c r="C157">
        <v>1.039E-2</v>
      </c>
      <c r="D157" s="27">
        <f t="shared" si="8"/>
        <v>2.1715099999999998E-3</v>
      </c>
      <c r="E157" s="27">
        <f t="shared" si="9"/>
        <v>0.65901593303955863</v>
      </c>
      <c r="F157" s="27">
        <f t="shared" si="10"/>
        <v>0.72849999999999993</v>
      </c>
      <c r="G157" s="27">
        <f t="shared" si="11"/>
        <v>6.5901593303955855E-2</v>
      </c>
      <c r="H157" s="27">
        <v>3.2123399745594139E-3</v>
      </c>
    </row>
    <row r="158" spans="1:8">
      <c r="A158">
        <v>2020</v>
      </c>
      <c r="B158">
        <v>2.5080000000000002E-2</v>
      </c>
      <c r="C158">
        <v>0.87953000000000003</v>
      </c>
      <c r="D158" s="27">
        <f t="shared" si="8"/>
        <v>1.1029306200000002</v>
      </c>
      <c r="E158" s="27">
        <f t="shared" si="9"/>
        <v>14.852142067728819</v>
      </c>
      <c r="F158" s="27">
        <f t="shared" si="10"/>
        <v>45.230499999999999</v>
      </c>
      <c r="G158" s="27">
        <f t="shared" si="11"/>
        <v>1.4852142067728817</v>
      </c>
      <c r="H158" s="27">
        <v>0.64140677545600155</v>
      </c>
    </row>
    <row r="159" spans="1:8">
      <c r="A159">
        <v>2020</v>
      </c>
      <c r="B159">
        <v>2.5080000000000002E-2</v>
      </c>
      <c r="C159">
        <v>8.3239999999999995E-2</v>
      </c>
      <c r="D159" s="27">
        <f t="shared" si="8"/>
        <v>0.10438296</v>
      </c>
      <c r="E159" s="27">
        <f t="shared" si="9"/>
        <v>4.5690909380313283</v>
      </c>
      <c r="F159" s="27">
        <f t="shared" si="10"/>
        <v>5.4160000000000004</v>
      </c>
      <c r="G159" s="27">
        <f t="shared" si="11"/>
        <v>0.45690909380313277</v>
      </c>
      <c r="H159" s="27">
        <v>7.0434856183252514E-2</v>
      </c>
    </row>
    <row r="160" spans="1:8">
      <c r="A160">
        <v>2020</v>
      </c>
      <c r="B160">
        <v>2.5080000000000002E-2</v>
      </c>
      <c r="C160">
        <v>1.47E-2</v>
      </c>
      <c r="D160" s="27">
        <f t="shared" si="8"/>
        <v>1.84338E-2</v>
      </c>
      <c r="E160" s="27">
        <f t="shared" si="9"/>
        <v>1.9200937477112934</v>
      </c>
      <c r="F160" s="27">
        <f t="shared" si="10"/>
        <v>1.9890000000000001</v>
      </c>
      <c r="G160" s="27">
        <f t="shared" si="11"/>
        <v>0.19200937477112934</v>
      </c>
      <c r="H160" s="27">
        <v>2.1288922733185049E-2</v>
      </c>
    </row>
    <row r="161" spans="1:8">
      <c r="A161">
        <v>2020</v>
      </c>
      <c r="B161">
        <v>2.5080000000000002E-2</v>
      </c>
      <c r="C161">
        <v>5.9100000000000003E-3</v>
      </c>
      <c r="D161" s="27">
        <f t="shared" si="8"/>
        <v>7.411140000000001E-3</v>
      </c>
      <c r="E161" s="27">
        <f t="shared" si="9"/>
        <v>1.2174678640522714</v>
      </c>
      <c r="F161" s="27">
        <f t="shared" si="10"/>
        <v>1.5495000000000001</v>
      </c>
      <c r="G161" s="27">
        <f t="shared" si="11"/>
        <v>0.12174678640522715</v>
      </c>
      <c r="H161" s="27">
        <v>1.498613961345798E-2</v>
      </c>
    </row>
    <row r="162" spans="1:8">
      <c r="A162">
        <v>2020</v>
      </c>
      <c r="B162">
        <v>2.5080000000000002E-2</v>
      </c>
      <c r="C162">
        <v>6.2300000000000003E-3</v>
      </c>
      <c r="D162" s="27">
        <f t="shared" si="8"/>
        <v>7.8124200000000013E-3</v>
      </c>
      <c r="E162" s="27">
        <f t="shared" si="9"/>
        <v>1.249993599983616</v>
      </c>
      <c r="F162" s="27">
        <f t="shared" si="10"/>
        <v>1.5655000000000001</v>
      </c>
      <c r="G162" s="27">
        <f t="shared" si="11"/>
        <v>0.12499935999836161</v>
      </c>
      <c r="H162" s="27">
        <v>1.5215592468783659E-2</v>
      </c>
    </row>
    <row r="163" spans="1:8">
      <c r="A163">
        <v>2020</v>
      </c>
      <c r="B163">
        <v>2.5080000000000002E-2</v>
      </c>
      <c r="C163">
        <v>1.039E-2</v>
      </c>
      <c r="D163" s="27">
        <f t="shared" si="8"/>
        <v>1.3029060000000002E-2</v>
      </c>
      <c r="E163" s="27">
        <f t="shared" si="9"/>
        <v>1.6142527683110846</v>
      </c>
      <c r="F163" s="27">
        <f t="shared" si="10"/>
        <v>1.7735000000000001</v>
      </c>
      <c r="G163" s="27">
        <f t="shared" si="11"/>
        <v>0.16142527683110847</v>
      </c>
      <c r="H163" s="27">
        <v>1.8198479588017399E-2</v>
      </c>
    </row>
    <row r="164" spans="1:8">
      <c r="A164">
        <v>2020</v>
      </c>
      <c r="B164">
        <v>9.5600000000000008E-3</v>
      </c>
      <c r="C164">
        <v>0.87953000000000003</v>
      </c>
      <c r="D164" s="27">
        <f t="shared" si="8"/>
        <v>0.42041534000000003</v>
      </c>
      <c r="E164" s="27">
        <f t="shared" si="9"/>
        <v>9.1696820010292619</v>
      </c>
      <c r="F164" s="27">
        <f t="shared" si="10"/>
        <v>44.454500000000003</v>
      </c>
      <c r="G164" s="27">
        <f t="shared" si="11"/>
        <v>0.91696820010292612</v>
      </c>
      <c r="H164" s="27">
        <v>0.63027831197270656</v>
      </c>
    </row>
    <row r="165" spans="1:8">
      <c r="A165">
        <v>2020</v>
      </c>
      <c r="B165">
        <v>9.5600000000000008E-3</v>
      </c>
      <c r="C165">
        <v>8.3239999999999995E-2</v>
      </c>
      <c r="D165" s="27">
        <f t="shared" si="8"/>
        <v>3.978872E-2</v>
      </c>
      <c r="E165" s="27">
        <f t="shared" si="9"/>
        <v>2.8209473586013618</v>
      </c>
      <c r="F165" s="27">
        <f t="shared" si="10"/>
        <v>4.6399999999999997</v>
      </c>
      <c r="G165" s="27">
        <f t="shared" si="11"/>
        <v>0.28209473586013617</v>
      </c>
      <c r="H165" s="27">
        <v>5.930639269995739E-2</v>
      </c>
    </row>
    <row r="166" spans="1:8">
      <c r="A166">
        <v>2020</v>
      </c>
      <c r="B166">
        <v>9.5600000000000008E-3</v>
      </c>
      <c r="C166">
        <v>1.47E-2</v>
      </c>
      <c r="D166" s="27">
        <f t="shared" si="8"/>
        <v>7.0266000000000009E-3</v>
      </c>
      <c r="E166" s="27">
        <f t="shared" si="9"/>
        <v>1.1854619352809268</v>
      </c>
      <c r="F166" s="27">
        <f t="shared" si="10"/>
        <v>1.2130000000000001</v>
      </c>
      <c r="G166" s="27">
        <f t="shared" si="11"/>
        <v>0.11854619352809267</v>
      </c>
      <c r="H166" s="27">
        <v>1.016045924988994E-2</v>
      </c>
    </row>
    <row r="167" spans="1:8">
      <c r="A167">
        <v>2020</v>
      </c>
      <c r="B167">
        <v>9.5600000000000008E-3</v>
      </c>
      <c r="C167">
        <v>5.9100000000000003E-3</v>
      </c>
      <c r="D167" s="27">
        <f t="shared" si="8"/>
        <v>2.8249800000000004E-3</v>
      </c>
      <c r="E167" s="27">
        <f t="shared" si="9"/>
        <v>0.75166215815351523</v>
      </c>
      <c r="F167" s="27">
        <f t="shared" si="10"/>
        <v>0.77350000000000008</v>
      </c>
      <c r="G167" s="27">
        <f t="shared" si="11"/>
        <v>7.5166215815351517E-2</v>
      </c>
      <c r="H167" s="27">
        <v>3.8576761301628701E-3</v>
      </c>
    </row>
    <row r="168" spans="1:8">
      <c r="A168">
        <v>2020</v>
      </c>
      <c r="B168">
        <v>9.5600000000000008E-3</v>
      </c>
      <c r="C168">
        <v>6.2300000000000003E-3</v>
      </c>
      <c r="D168" s="27">
        <f t="shared" si="8"/>
        <v>2.9779400000000005E-3</v>
      </c>
      <c r="E168" s="27">
        <f t="shared" si="9"/>
        <v>0.77174348069808807</v>
      </c>
      <c r="F168" s="27">
        <f t="shared" si="10"/>
        <v>0.78950000000000009</v>
      </c>
      <c r="G168" s="27">
        <f t="shared" si="11"/>
        <v>7.7174348069808801E-2</v>
      </c>
      <c r="H168" s="27">
        <v>4.0871289854885421E-3</v>
      </c>
    </row>
    <row r="169" spans="1:8">
      <c r="A169">
        <v>2020</v>
      </c>
      <c r="B169">
        <v>9.5600000000000008E-3</v>
      </c>
      <c r="C169">
        <v>1.039E-2</v>
      </c>
      <c r="D169" s="27">
        <f t="shared" si="8"/>
        <v>4.9664200000000009E-3</v>
      </c>
      <c r="E169" s="27">
        <f t="shared" si="9"/>
        <v>0.9966363429054752</v>
      </c>
      <c r="F169" s="27">
        <f t="shared" si="10"/>
        <v>0.99750000000000016</v>
      </c>
      <c r="G169" s="27">
        <f t="shared" si="11"/>
        <v>9.9663634290547531E-2</v>
      </c>
      <c r="H169" s="27">
        <v>7.0700161047222848E-3</v>
      </c>
    </row>
    <row r="170" spans="1:8">
      <c r="A170">
        <v>2020</v>
      </c>
      <c r="B170">
        <v>3.329E-2</v>
      </c>
      <c r="C170">
        <v>0.87953000000000003</v>
      </c>
      <c r="D170" s="27">
        <f t="shared" si="8"/>
        <v>1.4639776850000001</v>
      </c>
      <c r="E170" s="27">
        <f t="shared" si="9"/>
        <v>17.111269298330853</v>
      </c>
      <c r="F170" s="27">
        <f t="shared" si="10"/>
        <v>45.641000000000005</v>
      </c>
      <c r="G170" s="27">
        <f t="shared" si="11"/>
        <v>1.7111269298330853</v>
      </c>
      <c r="H170" s="27">
        <v>0.6472936752754509</v>
      </c>
    </row>
    <row r="171" spans="1:8">
      <c r="A171">
        <v>2020</v>
      </c>
      <c r="B171">
        <v>3.329E-2</v>
      </c>
      <c r="C171">
        <v>8.3239999999999995E-2</v>
      </c>
      <c r="D171" s="27">
        <f t="shared" si="8"/>
        <v>0.13855297999999999</v>
      </c>
      <c r="E171" s="27">
        <f t="shared" si="9"/>
        <v>5.2640854856280592</v>
      </c>
      <c r="F171" s="27">
        <f t="shared" si="10"/>
        <v>5.8264999999999993</v>
      </c>
      <c r="G171" s="27">
        <f t="shared" si="11"/>
        <v>0.52640854856280594</v>
      </c>
      <c r="H171" s="27">
        <v>7.6321756002701788E-2</v>
      </c>
    </row>
    <row r="172" spans="1:8">
      <c r="A172">
        <v>2020</v>
      </c>
      <c r="B172">
        <v>3.329E-2</v>
      </c>
      <c r="C172">
        <v>1.47E-2</v>
      </c>
      <c r="D172" s="27">
        <f t="shared" si="8"/>
        <v>2.4468150000000001E-2</v>
      </c>
      <c r="E172" s="27">
        <f t="shared" si="9"/>
        <v>2.2121550578564788</v>
      </c>
      <c r="F172" s="27">
        <f t="shared" si="10"/>
        <v>2.3994999999999997</v>
      </c>
      <c r="G172" s="27">
        <f t="shared" si="11"/>
        <v>0.22121550578564786</v>
      </c>
      <c r="H172" s="27">
        <v>2.7175822552634329E-2</v>
      </c>
    </row>
    <row r="173" spans="1:8">
      <c r="A173">
        <v>2020</v>
      </c>
      <c r="B173">
        <v>3.329E-2</v>
      </c>
      <c r="C173">
        <v>5.9100000000000003E-3</v>
      </c>
      <c r="D173" s="27">
        <f t="shared" si="8"/>
        <v>9.8371950000000017E-3</v>
      </c>
      <c r="E173" s="27">
        <f t="shared" si="9"/>
        <v>1.4026542695903363</v>
      </c>
      <c r="F173" s="27">
        <f t="shared" si="10"/>
        <v>1.96</v>
      </c>
      <c r="G173" s="27">
        <f t="shared" si="11"/>
        <v>0.14026542695903366</v>
      </c>
      <c r="H173" s="27">
        <v>2.0873039432907269E-2</v>
      </c>
    </row>
    <row r="174" spans="1:8">
      <c r="A174">
        <v>2020</v>
      </c>
      <c r="B174">
        <v>3.329E-2</v>
      </c>
      <c r="C174">
        <v>6.2300000000000003E-3</v>
      </c>
      <c r="D174" s="27">
        <f t="shared" si="8"/>
        <v>1.0369835000000001E-2</v>
      </c>
      <c r="E174" s="27">
        <f t="shared" si="9"/>
        <v>1.4401274249176703</v>
      </c>
      <c r="F174" s="27">
        <f t="shared" si="10"/>
        <v>1.976</v>
      </c>
      <c r="G174" s="27">
        <f t="shared" si="11"/>
        <v>0.14401274249176704</v>
      </c>
      <c r="H174" s="27">
        <v>2.1102492288232941E-2</v>
      </c>
    </row>
    <row r="175" spans="1:8">
      <c r="A175">
        <v>2020</v>
      </c>
      <c r="B175">
        <v>3.329E-2</v>
      </c>
      <c r="C175">
        <v>1.039E-2</v>
      </c>
      <c r="D175" s="27">
        <f t="shared" si="8"/>
        <v>1.7294154999999999E-2</v>
      </c>
      <c r="E175" s="27">
        <f t="shared" si="9"/>
        <v>1.8597932680811595</v>
      </c>
      <c r="F175" s="27">
        <f t="shared" si="10"/>
        <v>2.1839999999999997</v>
      </c>
      <c r="G175" s="27">
        <f t="shared" si="11"/>
        <v>0.18597932680811596</v>
      </c>
      <c r="H175" s="27">
        <v>2.4085379407466679E-2</v>
      </c>
    </row>
    <row r="176" spans="1:8">
      <c r="A176">
        <v>2020</v>
      </c>
      <c r="B176">
        <v>0.13048999999999999</v>
      </c>
      <c r="C176">
        <v>0.87953000000000003</v>
      </c>
      <c r="D176" s="27">
        <f t="shared" si="8"/>
        <v>5.7384934850000002</v>
      </c>
      <c r="E176" s="27">
        <f t="shared" si="9"/>
        <v>33.87770206197581</v>
      </c>
      <c r="F176" s="27">
        <f t="shared" si="10"/>
        <v>50.500999999999998</v>
      </c>
      <c r="G176" s="27">
        <f t="shared" si="11"/>
        <v>3.387770206197581</v>
      </c>
      <c r="H176" s="27">
        <v>0.71698998008062387</v>
      </c>
    </row>
    <row r="177" spans="1:8">
      <c r="A177">
        <v>2020</v>
      </c>
      <c r="B177">
        <v>0.13048999999999999</v>
      </c>
      <c r="C177">
        <v>8.3239999999999995E-2</v>
      </c>
      <c r="D177" s="27">
        <f t="shared" si="8"/>
        <v>0.54309938000000002</v>
      </c>
      <c r="E177" s="27">
        <f t="shared" si="9"/>
        <v>10.422085971627752</v>
      </c>
      <c r="F177" s="27">
        <f t="shared" si="10"/>
        <v>10.686499999999999</v>
      </c>
      <c r="G177" s="27">
        <f t="shared" si="11"/>
        <v>1.0422085971627753</v>
      </c>
      <c r="H177" s="27">
        <v>0.1460180608078748</v>
      </c>
    </row>
    <row r="178" spans="1:8">
      <c r="A178">
        <v>2020</v>
      </c>
      <c r="B178">
        <v>0.13048999999999999</v>
      </c>
      <c r="C178">
        <v>1.47E-2</v>
      </c>
      <c r="D178" s="27">
        <f t="shared" si="8"/>
        <v>9.5910149999999986E-2</v>
      </c>
      <c r="E178" s="27">
        <f t="shared" si="9"/>
        <v>4.3797294436985483</v>
      </c>
      <c r="F178" s="27">
        <f t="shared" si="10"/>
        <v>7.2594999999999992</v>
      </c>
      <c r="G178" s="27">
        <f t="shared" si="11"/>
        <v>0.43797294436985484</v>
      </c>
      <c r="H178" s="27">
        <v>9.6872127357807314E-2</v>
      </c>
    </row>
    <row r="179" spans="1:8">
      <c r="A179">
        <v>2020</v>
      </c>
      <c r="B179">
        <v>0.13048999999999999</v>
      </c>
      <c r="C179">
        <v>5.9100000000000003E-3</v>
      </c>
      <c r="D179" s="27">
        <f t="shared" si="8"/>
        <v>3.8559795000000001E-2</v>
      </c>
      <c r="E179" s="27">
        <f t="shared" si="9"/>
        <v>2.7770414112864792</v>
      </c>
      <c r="F179" s="27">
        <f t="shared" si="10"/>
        <v>6.8199999999999994</v>
      </c>
      <c r="G179" s="27">
        <f t="shared" si="11"/>
        <v>0.27770414112864794</v>
      </c>
      <c r="H179" s="27">
        <v>9.056934423808026E-2</v>
      </c>
    </row>
    <row r="180" spans="1:8">
      <c r="A180">
        <v>2020</v>
      </c>
      <c r="B180">
        <v>0.13048999999999999</v>
      </c>
      <c r="C180">
        <v>6.2300000000000003E-3</v>
      </c>
      <c r="D180" s="27">
        <f t="shared" si="8"/>
        <v>4.0647635000000001E-2</v>
      </c>
      <c r="E180" s="27">
        <f t="shared" si="9"/>
        <v>2.8512325404989332</v>
      </c>
      <c r="F180" s="27">
        <f t="shared" si="10"/>
        <v>6.8360000000000003</v>
      </c>
      <c r="G180" s="27">
        <f t="shared" si="11"/>
        <v>0.2851232540498933</v>
      </c>
      <c r="H180" s="27">
        <v>9.0798797093405936E-2</v>
      </c>
    </row>
    <row r="181" spans="1:8">
      <c r="A181">
        <v>2020</v>
      </c>
      <c r="B181">
        <v>0.13048999999999999</v>
      </c>
      <c r="C181">
        <v>1.039E-2</v>
      </c>
      <c r="D181" s="27">
        <f t="shared" si="8"/>
        <v>6.7789555000000001E-2</v>
      </c>
      <c r="E181" s="27">
        <f t="shared" si="9"/>
        <v>3.6821068697146742</v>
      </c>
      <c r="F181" s="27">
        <f t="shared" si="10"/>
        <v>7.0440000000000005</v>
      </c>
      <c r="G181" s="27">
        <f t="shared" si="11"/>
        <v>0.36821068697146747</v>
      </c>
      <c r="H181" s="27">
        <v>9.3781684212639688E-2</v>
      </c>
    </row>
    <row r="182" spans="1:8">
      <c r="A182">
        <v>2021</v>
      </c>
      <c r="B182">
        <v>3.0460000000000001E-2</v>
      </c>
      <c r="C182">
        <v>0.95255000000000001</v>
      </c>
      <c r="D182" s="27">
        <f t="shared" si="8"/>
        <v>1.4507336500000001</v>
      </c>
      <c r="E182" s="27">
        <f t="shared" si="9"/>
        <v>17.033693962261971</v>
      </c>
      <c r="F182" s="27">
        <f t="shared" si="10"/>
        <v>49.150500000000001</v>
      </c>
      <c r="G182" s="27">
        <f t="shared" si="11"/>
        <v>1.7033693962261973</v>
      </c>
      <c r="H182" s="27">
        <v>0.64122034501104952</v>
      </c>
    </row>
    <row r="183" spans="1:8">
      <c r="A183">
        <v>2021</v>
      </c>
      <c r="B183">
        <v>3.0460000000000001E-2</v>
      </c>
      <c r="C183">
        <v>8.5639999999999994E-2</v>
      </c>
      <c r="D183" s="27">
        <f t="shared" si="8"/>
        <v>0.13042972</v>
      </c>
      <c r="E183" s="27">
        <f t="shared" si="9"/>
        <v>5.1074400632802339</v>
      </c>
      <c r="F183" s="27">
        <f t="shared" si="10"/>
        <v>5.8049999999999997</v>
      </c>
      <c r="G183" s="27">
        <f t="shared" si="11"/>
        <v>0.51074400632802341</v>
      </c>
      <c r="H183" s="27">
        <v>6.687116652397565E-2</v>
      </c>
    </row>
    <row r="184" spans="1:8">
      <c r="A184">
        <v>2021</v>
      </c>
      <c r="B184">
        <v>3.0460000000000001E-2</v>
      </c>
      <c r="C184">
        <v>1.3899999999999999E-2</v>
      </c>
      <c r="D184" s="27">
        <f t="shared" si="8"/>
        <v>2.11697E-2</v>
      </c>
      <c r="E184" s="27">
        <f t="shared" si="9"/>
        <v>2.0576540039569333</v>
      </c>
      <c r="F184" s="27">
        <f t="shared" si="10"/>
        <v>2.218</v>
      </c>
      <c r="G184" s="27">
        <f t="shared" si="11"/>
        <v>0.20576540039569335</v>
      </c>
      <c r="H184" s="27">
        <v>1.9338573462916831E-2</v>
      </c>
    </row>
    <row r="185" spans="1:8">
      <c r="A185">
        <v>2021</v>
      </c>
      <c r="B185">
        <v>3.0460000000000001E-2</v>
      </c>
      <c r="C185">
        <v>9.9100000000000004E-3</v>
      </c>
      <c r="D185" s="27">
        <f t="shared" si="8"/>
        <v>1.5092929999999999E-2</v>
      </c>
      <c r="E185" s="27">
        <f t="shared" si="9"/>
        <v>1.7374078392824177</v>
      </c>
      <c r="F185" s="27">
        <f t="shared" si="10"/>
        <v>2.0185</v>
      </c>
      <c r="G185" s="27">
        <f t="shared" si="11"/>
        <v>0.17374078392824177</v>
      </c>
      <c r="H185" s="27">
        <v>1.6692695224942669E-2</v>
      </c>
    </row>
    <row r="186" spans="1:8">
      <c r="A186">
        <v>2021</v>
      </c>
      <c r="B186">
        <v>3.0460000000000001E-2</v>
      </c>
      <c r="C186">
        <v>8.6300000000000005E-3</v>
      </c>
      <c r="D186" s="27">
        <f t="shared" si="8"/>
        <v>1.3143490000000002E-2</v>
      </c>
      <c r="E186" s="27">
        <f t="shared" si="9"/>
        <v>1.6213260005316636</v>
      </c>
      <c r="F186" s="27">
        <f t="shared" si="10"/>
        <v>1.9544999999999999</v>
      </c>
      <c r="G186" s="27">
        <f t="shared" si="11"/>
        <v>0.16213260005316638</v>
      </c>
      <c r="H186" s="27">
        <v>1.584658782092925E-2</v>
      </c>
    </row>
    <row r="187" spans="1:8">
      <c r="A187">
        <v>2021</v>
      </c>
      <c r="B187">
        <v>3.0460000000000001E-2</v>
      </c>
      <c r="C187">
        <v>1.166E-2</v>
      </c>
      <c r="D187" s="27">
        <f t="shared" si="8"/>
        <v>1.7758180000000002E-2</v>
      </c>
      <c r="E187" s="27">
        <f t="shared" si="9"/>
        <v>1.8845784674563171</v>
      </c>
      <c r="F187" s="27">
        <f t="shared" si="10"/>
        <v>2.1060000000000003</v>
      </c>
      <c r="G187" s="27">
        <f t="shared" si="11"/>
        <v>0.18845784674563171</v>
      </c>
      <c r="H187" s="27">
        <v>1.7861470706757809E-2</v>
      </c>
    </row>
    <row r="188" spans="1:8">
      <c r="A188">
        <v>2021</v>
      </c>
      <c r="B188">
        <v>0.36653000000000002</v>
      </c>
      <c r="C188">
        <v>0.95255000000000001</v>
      </c>
      <c r="D188" s="27">
        <f t="shared" si="8"/>
        <v>17.456907575000002</v>
      </c>
      <c r="E188" s="27">
        <f t="shared" si="9"/>
        <v>59.087913442598392</v>
      </c>
      <c r="F188" s="27">
        <f t="shared" si="10"/>
        <v>65.954000000000008</v>
      </c>
      <c r="G188" s="27">
        <f t="shared" si="11"/>
        <v>5.9087913442598401</v>
      </c>
      <c r="H188" s="27">
        <v>0.83284216081490159</v>
      </c>
    </row>
    <row r="189" spans="1:8">
      <c r="A189">
        <v>2021</v>
      </c>
      <c r="B189">
        <v>0.36653000000000002</v>
      </c>
      <c r="C189">
        <v>8.5639999999999994E-2</v>
      </c>
      <c r="D189" s="27">
        <f t="shared" si="8"/>
        <v>1.56948146</v>
      </c>
      <c r="E189" s="27">
        <f t="shared" si="9"/>
        <v>17.717118614492595</v>
      </c>
      <c r="F189" s="27">
        <f t="shared" si="10"/>
        <v>22.608499999999999</v>
      </c>
      <c r="G189" s="27">
        <f t="shared" si="11"/>
        <v>1.7717118614492595</v>
      </c>
      <c r="H189" s="27">
        <v>0.25849298232782791</v>
      </c>
    </row>
    <row r="190" spans="1:8">
      <c r="A190">
        <v>2021</v>
      </c>
      <c r="B190">
        <v>0.36653000000000002</v>
      </c>
      <c r="C190">
        <v>1.3899999999999999E-2</v>
      </c>
      <c r="D190" s="27">
        <f t="shared" si="8"/>
        <v>0.25473835</v>
      </c>
      <c r="E190" s="27">
        <f t="shared" si="9"/>
        <v>7.137763655375541</v>
      </c>
      <c r="F190" s="27">
        <f t="shared" si="10"/>
        <v>19.021500000000003</v>
      </c>
      <c r="G190" s="27">
        <f t="shared" si="11"/>
        <v>0.71377636553755408</v>
      </c>
      <c r="H190" s="27">
        <v>0.21096038926676899</v>
      </c>
    </row>
    <row r="191" spans="1:8">
      <c r="A191">
        <v>2021</v>
      </c>
      <c r="B191">
        <v>0.36653000000000002</v>
      </c>
      <c r="C191">
        <v>9.9100000000000004E-3</v>
      </c>
      <c r="D191" s="27">
        <f t="shared" si="8"/>
        <v>0.18161561500000004</v>
      </c>
      <c r="E191" s="27">
        <f t="shared" si="9"/>
        <v>6.026866764746007</v>
      </c>
      <c r="F191" s="27">
        <f t="shared" si="10"/>
        <v>18.821999999999999</v>
      </c>
      <c r="G191" s="27">
        <f t="shared" si="11"/>
        <v>0.60268667647460072</v>
      </c>
      <c r="H191" s="27">
        <v>0.20831451102879489</v>
      </c>
    </row>
    <row r="192" spans="1:8">
      <c r="A192">
        <v>2021</v>
      </c>
      <c r="B192">
        <v>0.36653000000000002</v>
      </c>
      <c r="C192">
        <v>8.6300000000000005E-3</v>
      </c>
      <c r="D192" s="27">
        <f t="shared" si="8"/>
        <v>0.15815769500000001</v>
      </c>
      <c r="E192" s="27">
        <f t="shared" si="9"/>
        <v>5.6241922975659362</v>
      </c>
      <c r="F192" s="27">
        <f t="shared" si="10"/>
        <v>18.758000000000003</v>
      </c>
      <c r="G192" s="27">
        <f t="shared" si="11"/>
        <v>0.56241922975659364</v>
      </c>
      <c r="H192" s="27">
        <v>0.20746840362478139</v>
      </c>
    </row>
    <row r="193" spans="1:8">
      <c r="A193">
        <v>2021</v>
      </c>
      <c r="B193">
        <v>0.36653000000000002</v>
      </c>
      <c r="C193">
        <v>1.166E-2</v>
      </c>
      <c r="D193" s="27">
        <f t="shared" si="8"/>
        <v>0.21368699000000002</v>
      </c>
      <c r="E193" s="27">
        <f t="shared" si="9"/>
        <v>6.5373846452537885</v>
      </c>
      <c r="F193" s="27">
        <f t="shared" si="10"/>
        <v>18.909500000000001</v>
      </c>
      <c r="G193" s="27">
        <f t="shared" si="11"/>
        <v>0.65373846452537887</v>
      </c>
      <c r="H193" s="27">
        <v>0.20948328651060999</v>
      </c>
    </row>
    <row r="194" spans="1:8">
      <c r="A194">
        <v>2021</v>
      </c>
      <c r="B194">
        <v>0.34144999999999998</v>
      </c>
      <c r="C194">
        <v>0.95255000000000001</v>
      </c>
      <c r="D194" s="27">
        <f t="shared" ref="D194:D257" si="12">((B194*C194)/2)*100</f>
        <v>16.262409874999999</v>
      </c>
      <c r="E194" s="27">
        <f t="shared" ref="E194:E257" si="13">(SQRT(B194*C194))*100</f>
        <v>57.030535461277232</v>
      </c>
      <c r="F194" s="27">
        <f t="shared" ref="F194:F257" si="14">(AVERAGE(B194:C194))*100</f>
        <v>64.7</v>
      </c>
      <c r="G194" s="27">
        <f t="shared" ref="G194:G257" si="15">SQRT((B194*C194)*100)</f>
        <v>5.7030535461277232</v>
      </c>
      <c r="H194" s="27">
        <v>0.81854437976742078</v>
      </c>
    </row>
    <row r="195" spans="1:8">
      <c r="A195">
        <v>2021</v>
      </c>
      <c r="B195">
        <v>0.34144999999999998</v>
      </c>
      <c r="C195">
        <v>8.5639999999999994E-2</v>
      </c>
      <c r="D195" s="27">
        <f t="shared" si="12"/>
        <v>1.4620888999999999</v>
      </c>
      <c r="E195" s="27">
        <f t="shared" si="13"/>
        <v>17.100227483866988</v>
      </c>
      <c r="F195" s="27">
        <f t="shared" si="14"/>
        <v>21.354499999999998</v>
      </c>
      <c r="G195" s="27">
        <f t="shared" si="15"/>
        <v>1.710022748386699</v>
      </c>
      <c r="H195" s="27">
        <v>0.24419520128034691</v>
      </c>
    </row>
    <row r="196" spans="1:8">
      <c r="A196">
        <v>2021</v>
      </c>
      <c r="B196">
        <v>0.34144999999999998</v>
      </c>
      <c r="C196">
        <v>1.3899999999999999E-2</v>
      </c>
      <c r="D196" s="27">
        <f t="shared" si="12"/>
        <v>0.23730774999999996</v>
      </c>
      <c r="E196" s="27">
        <f t="shared" si="13"/>
        <v>6.8892343551370052</v>
      </c>
      <c r="F196" s="27">
        <f t="shared" si="14"/>
        <v>17.767499999999998</v>
      </c>
      <c r="G196" s="27">
        <f t="shared" si="15"/>
        <v>0.6889234355137005</v>
      </c>
      <c r="H196" s="27">
        <v>0.19666260821928799</v>
      </c>
    </row>
    <row r="197" spans="1:8">
      <c r="A197">
        <v>2021</v>
      </c>
      <c r="B197">
        <v>0.34144999999999998</v>
      </c>
      <c r="C197">
        <v>9.9100000000000004E-3</v>
      </c>
      <c r="D197" s="27">
        <f t="shared" si="12"/>
        <v>0.16918847499999998</v>
      </c>
      <c r="E197" s="27">
        <f t="shared" si="13"/>
        <v>5.8170177066947284</v>
      </c>
      <c r="F197" s="27">
        <f t="shared" si="14"/>
        <v>17.567999999999998</v>
      </c>
      <c r="G197" s="27">
        <f t="shared" si="15"/>
        <v>0.58170177066947282</v>
      </c>
      <c r="H197" s="27">
        <v>0.19401672998131389</v>
      </c>
    </row>
    <row r="198" spans="1:8">
      <c r="A198">
        <v>2021</v>
      </c>
      <c r="B198">
        <v>0.34144999999999998</v>
      </c>
      <c r="C198">
        <v>8.6300000000000005E-3</v>
      </c>
      <c r="D198" s="27">
        <f t="shared" si="12"/>
        <v>0.147335675</v>
      </c>
      <c r="E198" s="27">
        <f t="shared" si="13"/>
        <v>5.428363934004425</v>
      </c>
      <c r="F198" s="27">
        <f t="shared" si="14"/>
        <v>17.504000000000001</v>
      </c>
      <c r="G198" s="27">
        <f t="shared" si="15"/>
        <v>0.54283639340044254</v>
      </c>
      <c r="H198" s="27">
        <v>0.19317062257730039</v>
      </c>
    </row>
    <row r="199" spans="1:8">
      <c r="A199">
        <v>2021</v>
      </c>
      <c r="B199">
        <v>0.34144999999999998</v>
      </c>
      <c r="C199">
        <v>1.166E-2</v>
      </c>
      <c r="D199" s="27">
        <f t="shared" si="12"/>
        <v>0.19906535</v>
      </c>
      <c r="E199" s="27">
        <f t="shared" si="13"/>
        <v>6.3097599003448623</v>
      </c>
      <c r="F199" s="27">
        <f t="shared" si="14"/>
        <v>17.6555</v>
      </c>
      <c r="G199" s="27">
        <f t="shared" si="15"/>
        <v>0.63097599003448623</v>
      </c>
      <c r="H199" s="27">
        <v>0.19518550546312899</v>
      </c>
    </row>
    <row r="200" spans="1:8">
      <c r="A200">
        <v>2021</v>
      </c>
      <c r="B200">
        <v>1.7770000000000001E-2</v>
      </c>
      <c r="C200">
        <v>0.95255000000000001</v>
      </c>
      <c r="D200" s="27">
        <f t="shared" si="12"/>
        <v>0.8463406750000001</v>
      </c>
      <c r="E200" s="27">
        <f t="shared" si="13"/>
        <v>13.010308797257657</v>
      </c>
      <c r="F200" s="27">
        <f t="shared" si="14"/>
        <v>48.515999999999998</v>
      </c>
      <c r="G200" s="27">
        <f t="shared" si="15"/>
        <v>1.3010308797257659</v>
      </c>
      <c r="H200" s="27">
        <v>0.63398540966656181</v>
      </c>
    </row>
    <row r="201" spans="1:8">
      <c r="A201">
        <v>2021</v>
      </c>
      <c r="B201">
        <v>1.7770000000000001E-2</v>
      </c>
      <c r="C201">
        <v>8.5639999999999994E-2</v>
      </c>
      <c r="D201" s="27">
        <f t="shared" si="12"/>
        <v>7.6091140000000002E-2</v>
      </c>
      <c r="E201" s="27">
        <f t="shared" si="13"/>
        <v>3.9010547291726114</v>
      </c>
      <c r="F201" s="27">
        <f t="shared" si="14"/>
        <v>5.1705000000000005</v>
      </c>
      <c r="G201" s="27">
        <f t="shared" si="15"/>
        <v>0.39010547291726116</v>
      </c>
      <c r="H201" s="27">
        <v>5.9636231179488047E-2</v>
      </c>
    </row>
    <row r="202" spans="1:8">
      <c r="A202">
        <v>2021</v>
      </c>
      <c r="B202">
        <v>1.7770000000000001E-2</v>
      </c>
      <c r="C202">
        <v>1.3899999999999999E-2</v>
      </c>
      <c r="D202" s="27">
        <f t="shared" si="12"/>
        <v>1.2350149999999999E-2</v>
      </c>
      <c r="E202" s="27">
        <f t="shared" si="13"/>
        <v>1.5716329087926351</v>
      </c>
      <c r="F202" s="27">
        <f t="shared" si="14"/>
        <v>1.5835000000000001</v>
      </c>
      <c r="G202" s="27">
        <f t="shared" si="15"/>
        <v>0.15716329087926353</v>
      </c>
      <c r="H202" s="27">
        <v>1.2103638118429219E-2</v>
      </c>
    </row>
    <row r="203" spans="1:8">
      <c r="A203">
        <v>2021</v>
      </c>
      <c r="B203">
        <v>1.7770000000000001E-2</v>
      </c>
      <c r="C203">
        <v>9.9100000000000004E-3</v>
      </c>
      <c r="D203" s="27">
        <f t="shared" si="12"/>
        <v>8.805035000000001E-3</v>
      </c>
      <c r="E203" s="27">
        <f t="shared" si="13"/>
        <v>1.3270293892751586</v>
      </c>
      <c r="F203" s="27">
        <f t="shared" si="14"/>
        <v>1.3840000000000001</v>
      </c>
      <c r="G203" s="27">
        <f t="shared" si="15"/>
        <v>0.13270293892751586</v>
      </c>
      <c r="H203" s="27">
        <v>9.4577598804550644E-3</v>
      </c>
    </row>
    <row r="204" spans="1:8">
      <c r="A204">
        <v>2021</v>
      </c>
      <c r="B204">
        <v>1.7770000000000001E-2</v>
      </c>
      <c r="C204">
        <v>8.6300000000000005E-3</v>
      </c>
      <c r="D204" s="27">
        <f t="shared" si="12"/>
        <v>7.6677550000000009E-3</v>
      </c>
      <c r="E204" s="27">
        <f t="shared" si="13"/>
        <v>1.2383662624603435</v>
      </c>
      <c r="F204" s="27">
        <f t="shared" si="14"/>
        <v>1.32</v>
      </c>
      <c r="G204" s="27">
        <f t="shared" si="15"/>
        <v>0.12383662624603434</v>
      </c>
      <c r="H204" s="27">
        <v>8.611652476441644E-3</v>
      </c>
    </row>
    <row r="205" spans="1:8">
      <c r="A205">
        <v>2021</v>
      </c>
      <c r="B205">
        <v>1.7770000000000001E-2</v>
      </c>
      <c r="C205">
        <v>1.166E-2</v>
      </c>
      <c r="D205" s="27">
        <f t="shared" si="12"/>
        <v>1.035991E-2</v>
      </c>
      <c r="E205" s="27">
        <f t="shared" si="13"/>
        <v>1.4394380848094857</v>
      </c>
      <c r="F205" s="27">
        <f t="shared" si="14"/>
        <v>1.4715</v>
      </c>
      <c r="G205" s="27">
        <f t="shared" si="15"/>
        <v>0.14394380848094857</v>
      </c>
      <c r="H205" s="27">
        <v>1.062653536227021E-2</v>
      </c>
    </row>
    <row r="206" spans="1:8">
      <c r="A206">
        <v>2021</v>
      </c>
      <c r="B206">
        <v>9.3609999999999999E-2</v>
      </c>
      <c r="C206">
        <v>0.95255000000000001</v>
      </c>
      <c r="D206" s="27">
        <f t="shared" si="12"/>
        <v>4.4584102750000003</v>
      </c>
      <c r="E206" s="27">
        <f t="shared" si="13"/>
        <v>29.861045778739896</v>
      </c>
      <c r="F206" s="27">
        <f t="shared" si="14"/>
        <v>52.308</v>
      </c>
      <c r="G206" s="27">
        <f t="shared" si="15"/>
        <v>2.9861045778739901</v>
      </c>
      <c r="H206" s="27">
        <v>0.67723010249372217</v>
      </c>
    </row>
    <row r="207" spans="1:8">
      <c r="A207">
        <v>2021</v>
      </c>
      <c r="B207">
        <v>9.3609999999999999E-2</v>
      </c>
      <c r="C207">
        <v>8.5639999999999994E-2</v>
      </c>
      <c r="D207" s="27">
        <f t="shared" si="12"/>
        <v>0.40083801999999996</v>
      </c>
      <c r="E207" s="27">
        <f t="shared" si="13"/>
        <v>8.9536363562521348</v>
      </c>
      <c r="F207" s="27">
        <f t="shared" si="14"/>
        <v>8.9625000000000004</v>
      </c>
      <c r="G207" s="27">
        <f t="shared" si="15"/>
        <v>0.89536363562521337</v>
      </c>
      <c r="H207" s="27">
        <v>0.1028809240066484</v>
      </c>
    </row>
    <row r="208" spans="1:8">
      <c r="A208">
        <v>2021</v>
      </c>
      <c r="B208">
        <v>9.3609999999999999E-2</v>
      </c>
      <c r="C208">
        <v>1.3899999999999999E-2</v>
      </c>
      <c r="D208" s="27">
        <f t="shared" si="12"/>
        <v>6.5058950000000004E-2</v>
      </c>
      <c r="E208" s="27">
        <f t="shared" si="13"/>
        <v>3.607185883760359</v>
      </c>
      <c r="F208" s="27">
        <f t="shared" si="14"/>
        <v>5.3754999999999997</v>
      </c>
      <c r="G208" s="27">
        <f t="shared" si="15"/>
        <v>0.36071858837603588</v>
      </c>
      <c r="H208" s="27">
        <v>5.5348330945589559E-2</v>
      </c>
    </row>
    <row r="209" spans="1:8">
      <c r="A209">
        <v>2021</v>
      </c>
      <c r="B209">
        <v>9.3609999999999999E-2</v>
      </c>
      <c r="C209">
        <v>9.9100000000000004E-3</v>
      </c>
      <c r="D209" s="27">
        <f t="shared" si="12"/>
        <v>4.6383754999999999E-2</v>
      </c>
      <c r="E209" s="27">
        <f t="shared" si="13"/>
        <v>3.0457759274116012</v>
      </c>
      <c r="F209" s="27">
        <f t="shared" si="14"/>
        <v>5.1760000000000002</v>
      </c>
      <c r="G209" s="27">
        <f t="shared" si="15"/>
        <v>0.30457759274116014</v>
      </c>
      <c r="H209" s="27">
        <v>5.2702452707615401E-2</v>
      </c>
    </row>
    <row r="210" spans="1:8">
      <c r="A210">
        <v>2021</v>
      </c>
      <c r="B210">
        <v>9.3609999999999999E-2</v>
      </c>
      <c r="C210">
        <v>8.6300000000000005E-3</v>
      </c>
      <c r="D210" s="27">
        <f t="shared" si="12"/>
        <v>4.0392715000000003E-2</v>
      </c>
      <c r="E210" s="27">
        <f t="shared" si="13"/>
        <v>2.8422777837502093</v>
      </c>
      <c r="F210" s="27">
        <f t="shared" si="14"/>
        <v>5.1120000000000001</v>
      </c>
      <c r="G210" s="27">
        <f t="shared" si="15"/>
        <v>0.28422777837502089</v>
      </c>
      <c r="H210" s="27">
        <v>5.1856345303601982E-2</v>
      </c>
    </row>
    <row r="211" spans="1:8">
      <c r="A211">
        <v>2021</v>
      </c>
      <c r="B211">
        <v>9.3609999999999999E-2</v>
      </c>
      <c r="C211">
        <v>1.166E-2</v>
      </c>
      <c r="D211" s="27">
        <f t="shared" si="12"/>
        <v>5.4574630000000006E-2</v>
      </c>
      <c r="E211" s="27">
        <f t="shared" si="13"/>
        <v>3.3037745080437921</v>
      </c>
      <c r="F211" s="27">
        <f t="shared" si="14"/>
        <v>5.2635000000000005</v>
      </c>
      <c r="G211" s="27">
        <f t="shared" si="15"/>
        <v>0.33037745080437925</v>
      </c>
      <c r="H211" s="27">
        <v>5.3871228189430527E-2</v>
      </c>
    </row>
    <row r="212" spans="1:8">
      <c r="A212">
        <v>2021</v>
      </c>
      <c r="B212">
        <v>6.2700000000000004E-3</v>
      </c>
      <c r="C212">
        <v>0.95255000000000001</v>
      </c>
      <c r="D212" s="27">
        <f t="shared" si="12"/>
        <v>0.29862442500000003</v>
      </c>
      <c r="E212" s="27">
        <f t="shared" si="13"/>
        <v>7.7281876918201213</v>
      </c>
      <c r="F212" s="27">
        <f t="shared" si="14"/>
        <v>47.941000000000003</v>
      </c>
      <c r="G212" s="27">
        <f t="shared" si="15"/>
        <v>0.77281876918201209</v>
      </c>
      <c r="H212" s="27">
        <v>0.62743166248632232</v>
      </c>
    </row>
    <row r="213" spans="1:8">
      <c r="A213">
        <v>2021</v>
      </c>
      <c r="B213">
        <v>6.2700000000000004E-3</v>
      </c>
      <c r="C213">
        <v>8.5639999999999994E-2</v>
      </c>
      <c r="D213" s="27">
        <f t="shared" si="12"/>
        <v>2.6848140000000003E-2</v>
      </c>
      <c r="E213" s="27">
        <f t="shared" si="13"/>
        <v>2.31724577893671</v>
      </c>
      <c r="F213" s="27">
        <f t="shared" si="14"/>
        <v>4.5954999999999995</v>
      </c>
      <c r="G213" s="27">
        <f t="shared" si="15"/>
        <v>0.23172457789367101</v>
      </c>
      <c r="H213" s="27">
        <v>5.3082483999248538E-2</v>
      </c>
    </row>
    <row r="214" spans="1:8">
      <c r="A214">
        <v>2021</v>
      </c>
      <c r="B214">
        <v>6.2700000000000004E-3</v>
      </c>
      <c r="C214">
        <v>1.3899999999999999E-2</v>
      </c>
      <c r="D214" s="27">
        <f t="shared" si="12"/>
        <v>4.3576500000000002E-3</v>
      </c>
      <c r="E214" s="27">
        <f t="shared" si="13"/>
        <v>0.93355771112449171</v>
      </c>
      <c r="F214" s="27">
        <f t="shared" si="14"/>
        <v>1.0085</v>
      </c>
      <c r="G214" s="27">
        <f t="shared" si="15"/>
        <v>9.3355771112449179E-2</v>
      </c>
      <c r="H214" s="27">
        <v>5.5498909381897022E-3</v>
      </c>
    </row>
    <row r="215" spans="1:8">
      <c r="A215">
        <v>2021</v>
      </c>
      <c r="B215">
        <v>6.2700000000000004E-3</v>
      </c>
      <c r="C215">
        <v>9.9100000000000004E-3</v>
      </c>
      <c r="D215" s="27">
        <f t="shared" si="12"/>
        <v>3.1067850000000004E-3</v>
      </c>
      <c r="E215" s="27">
        <f t="shared" si="13"/>
        <v>0.7882620122776437</v>
      </c>
      <c r="F215" s="27">
        <f t="shared" si="14"/>
        <v>0.80899999999999994</v>
      </c>
      <c r="G215" s="27">
        <f t="shared" si="15"/>
        <v>7.8826201227764361E-2</v>
      </c>
      <c r="H215" s="27">
        <v>2.9040127002155419E-3</v>
      </c>
    </row>
    <row r="216" spans="1:8">
      <c r="A216">
        <v>2021</v>
      </c>
      <c r="B216">
        <v>6.2700000000000004E-3</v>
      </c>
      <c r="C216">
        <v>8.6300000000000005E-3</v>
      </c>
      <c r="D216" s="27">
        <f t="shared" si="12"/>
        <v>2.7055050000000004E-3</v>
      </c>
      <c r="E216" s="27">
        <f t="shared" si="13"/>
        <v>0.73559567698566586</v>
      </c>
      <c r="F216" s="27">
        <f t="shared" si="14"/>
        <v>0.745</v>
      </c>
      <c r="G216" s="27">
        <f t="shared" si="15"/>
        <v>7.3559567698566586E-2</v>
      </c>
      <c r="H216" s="27">
        <v>2.0579052962021241E-3</v>
      </c>
    </row>
    <row r="217" spans="1:8">
      <c r="A217">
        <v>2021</v>
      </c>
      <c r="B217">
        <v>6.2700000000000004E-3</v>
      </c>
      <c r="C217">
        <v>1.166E-2</v>
      </c>
      <c r="D217" s="27">
        <f t="shared" si="12"/>
        <v>3.6554100000000004E-3</v>
      </c>
      <c r="E217" s="27">
        <f t="shared" si="13"/>
        <v>0.85503333268358606</v>
      </c>
      <c r="F217" s="27">
        <f t="shared" si="14"/>
        <v>0.89650000000000007</v>
      </c>
      <c r="G217" s="27">
        <f t="shared" si="15"/>
        <v>8.5503333268358614E-2</v>
      </c>
      <c r="H217" s="27">
        <v>4.0727881820306856E-3</v>
      </c>
    </row>
    <row r="218" spans="1:8">
      <c r="A218">
        <v>2021</v>
      </c>
      <c r="B218">
        <v>2.5680000000000001E-2</v>
      </c>
      <c r="C218">
        <v>0.95255000000000001</v>
      </c>
      <c r="D218" s="27">
        <f t="shared" si="12"/>
        <v>1.2230742000000001</v>
      </c>
      <c r="E218" s="27">
        <f t="shared" si="13"/>
        <v>15.64016751828445</v>
      </c>
      <c r="F218" s="27">
        <f t="shared" si="14"/>
        <v>48.911500000000004</v>
      </c>
      <c r="G218" s="27">
        <f t="shared" si="15"/>
        <v>1.5640167518284451</v>
      </c>
      <c r="H218" s="27">
        <v>0.63849559235405706</v>
      </c>
    </row>
    <row r="219" spans="1:8">
      <c r="A219">
        <v>2021</v>
      </c>
      <c r="B219">
        <v>2.5680000000000001E-2</v>
      </c>
      <c r="C219">
        <v>8.5639999999999994E-2</v>
      </c>
      <c r="D219" s="27">
        <f t="shared" si="12"/>
        <v>0.10996175999999999</v>
      </c>
      <c r="E219" s="27">
        <f t="shared" si="13"/>
        <v>4.6896004094165633</v>
      </c>
      <c r="F219" s="27">
        <f t="shared" si="14"/>
        <v>5.5659999999999998</v>
      </c>
      <c r="G219" s="27">
        <f t="shared" si="15"/>
        <v>0.46896004094165633</v>
      </c>
      <c r="H219" s="27">
        <v>6.4146413866983304E-2</v>
      </c>
    </row>
    <row r="220" spans="1:8">
      <c r="A220">
        <v>2021</v>
      </c>
      <c r="B220">
        <v>2.5680000000000001E-2</v>
      </c>
      <c r="C220">
        <v>1.3899999999999999E-2</v>
      </c>
      <c r="D220" s="27">
        <f t="shared" si="12"/>
        <v>1.7847600000000002E-2</v>
      </c>
      <c r="E220" s="27">
        <f t="shared" si="13"/>
        <v>1.8893173370294361</v>
      </c>
      <c r="F220" s="27">
        <f t="shared" si="14"/>
        <v>1.9790000000000001</v>
      </c>
      <c r="G220" s="27">
        <f t="shared" si="15"/>
        <v>0.18893173370294361</v>
      </c>
      <c r="H220" s="27">
        <v>1.6613820805924471E-2</v>
      </c>
    </row>
    <row r="221" spans="1:8">
      <c r="A221">
        <v>2021</v>
      </c>
      <c r="B221">
        <v>2.5680000000000001E-2</v>
      </c>
      <c r="C221">
        <v>9.9100000000000004E-3</v>
      </c>
      <c r="D221" s="27">
        <f t="shared" si="12"/>
        <v>1.2724440000000002E-2</v>
      </c>
      <c r="E221" s="27">
        <f t="shared" si="13"/>
        <v>1.5952705099762863</v>
      </c>
      <c r="F221" s="27">
        <f t="shared" si="14"/>
        <v>1.7795000000000001</v>
      </c>
      <c r="G221" s="27">
        <f t="shared" si="15"/>
        <v>0.15952705099762862</v>
      </c>
      <c r="H221" s="27">
        <v>1.3967942567950311E-2</v>
      </c>
    </row>
    <row r="222" spans="1:8">
      <c r="A222">
        <v>2021</v>
      </c>
      <c r="B222">
        <v>2.5680000000000001E-2</v>
      </c>
      <c r="C222">
        <v>8.6300000000000005E-3</v>
      </c>
      <c r="D222" s="27">
        <f t="shared" si="12"/>
        <v>1.1080920000000001E-2</v>
      </c>
      <c r="E222" s="27">
        <f t="shared" si="13"/>
        <v>1.4886853260511437</v>
      </c>
      <c r="F222" s="27">
        <f t="shared" si="14"/>
        <v>1.7155</v>
      </c>
      <c r="G222" s="27">
        <f t="shared" si="15"/>
        <v>0.14886853260511437</v>
      </c>
      <c r="H222" s="27">
        <v>1.312183516393689E-2</v>
      </c>
    </row>
    <row r="223" spans="1:8">
      <c r="A223">
        <v>2021</v>
      </c>
      <c r="B223">
        <v>2.5680000000000001E-2</v>
      </c>
      <c r="C223">
        <v>1.166E-2</v>
      </c>
      <c r="D223" s="27">
        <f t="shared" si="12"/>
        <v>1.4971440000000001E-2</v>
      </c>
      <c r="E223" s="27">
        <f t="shared" si="13"/>
        <v>1.7304011095696858</v>
      </c>
      <c r="F223" s="27">
        <f t="shared" si="14"/>
        <v>1.867</v>
      </c>
      <c r="G223" s="27">
        <f t="shared" si="15"/>
        <v>0.17304011095696858</v>
      </c>
      <c r="H223" s="27">
        <v>1.5136718049765451E-2</v>
      </c>
    </row>
    <row r="224" spans="1:8">
      <c r="A224">
        <v>2021</v>
      </c>
      <c r="B224">
        <v>1.3440000000000001E-2</v>
      </c>
      <c r="C224">
        <v>0.95255000000000001</v>
      </c>
      <c r="D224" s="27">
        <f t="shared" si="12"/>
        <v>0.64011359999999995</v>
      </c>
      <c r="E224" s="27">
        <f t="shared" si="13"/>
        <v>11.314712546061433</v>
      </c>
      <c r="F224" s="27">
        <f t="shared" si="14"/>
        <v>48.299500000000002</v>
      </c>
      <c r="G224" s="27">
        <f t="shared" si="15"/>
        <v>1.1314712546061432</v>
      </c>
      <c r="H224" s="27">
        <v>0.63151879147181089</v>
      </c>
    </row>
    <row r="225" spans="1:8">
      <c r="A225">
        <v>2021</v>
      </c>
      <c r="B225">
        <v>1.3440000000000001E-2</v>
      </c>
      <c r="C225">
        <v>8.5639999999999994E-2</v>
      </c>
      <c r="D225" s="27">
        <f t="shared" si="12"/>
        <v>5.7550080000000003E-2</v>
      </c>
      <c r="E225" s="27">
        <f t="shared" si="13"/>
        <v>3.3926414487829391</v>
      </c>
      <c r="F225" s="27">
        <f t="shared" si="14"/>
        <v>4.9539999999999997</v>
      </c>
      <c r="G225" s="27">
        <f t="shared" si="15"/>
        <v>0.33926414487829393</v>
      </c>
      <c r="H225" s="27">
        <v>5.7169612984737078E-2</v>
      </c>
    </row>
    <row r="226" spans="1:8">
      <c r="A226">
        <v>2021</v>
      </c>
      <c r="B226">
        <v>1.3440000000000001E-2</v>
      </c>
      <c r="C226">
        <v>1.3899999999999999E-2</v>
      </c>
      <c r="D226" s="27">
        <f t="shared" si="12"/>
        <v>9.3407999999999998E-3</v>
      </c>
      <c r="E226" s="27">
        <f t="shared" si="13"/>
        <v>1.366806496911688</v>
      </c>
      <c r="F226" s="27">
        <f t="shared" si="14"/>
        <v>1.367</v>
      </c>
      <c r="G226" s="27">
        <f t="shared" si="15"/>
        <v>0.1366806496911688</v>
      </c>
      <c r="H226" s="27">
        <v>9.6370199236782451E-3</v>
      </c>
    </row>
    <row r="227" spans="1:8">
      <c r="A227">
        <v>2021</v>
      </c>
      <c r="B227">
        <v>1.3440000000000001E-2</v>
      </c>
      <c r="C227">
        <v>9.9100000000000004E-3</v>
      </c>
      <c r="D227" s="27">
        <f t="shared" si="12"/>
        <v>6.6595200000000012E-3</v>
      </c>
      <c r="E227" s="27">
        <f t="shared" si="13"/>
        <v>1.1540814529312913</v>
      </c>
      <c r="F227" s="27">
        <f t="shared" si="14"/>
        <v>1.1675000000000002</v>
      </c>
      <c r="G227" s="27">
        <f t="shared" si="15"/>
        <v>0.11540814529312912</v>
      </c>
      <c r="H227" s="27">
        <v>6.9911416857040823E-3</v>
      </c>
    </row>
    <row r="228" spans="1:8">
      <c r="A228">
        <v>2021</v>
      </c>
      <c r="B228">
        <v>1.3440000000000001E-2</v>
      </c>
      <c r="C228">
        <v>8.6300000000000005E-3</v>
      </c>
      <c r="D228" s="27">
        <f t="shared" si="12"/>
        <v>5.7993600000000008E-3</v>
      </c>
      <c r="E228" s="27">
        <f t="shared" si="13"/>
        <v>1.0769735372793521</v>
      </c>
      <c r="F228" s="27">
        <f t="shared" si="14"/>
        <v>1.1034999999999999</v>
      </c>
      <c r="G228" s="27">
        <f t="shared" si="15"/>
        <v>0.10769735372793522</v>
      </c>
      <c r="H228" s="27">
        <v>6.1450342816906636E-3</v>
      </c>
    </row>
    <row r="229" spans="1:8">
      <c r="A229">
        <v>2021</v>
      </c>
      <c r="B229">
        <v>1.3440000000000001E-2</v>
      </c>
      <c r="C229">
        <v>1.166E-2</v>
      </c>
      <c r="D229" s="27">
        <f t="shared" si="12"/>
        <v>7.8355200000000003E-3</v>
      </c>
      <c r="E229" s="27">
        <f t="shared" si="13"/>
        <v>1.2518402453987489</v>
      </c>
      <c r="F229" s="27">
        <f t="shared" si="14"/>
        <v>1.2550000000000001</v>
      </c>
      <c r="G229" s="27">
        <f t="shared" si="15"/>
        <v>0.1251840245398749</v>
      </c>
      <c r="H229" s="27">
        <v>8.1599171675192251E-3</v>
      </c>
    </row>
    <row r="230" spans="1:8">
      <c r="A230">
        <v>2021</v>
      </c>
      <c r="B230">
        <v>3.8370000000000001E-2</v>
      </c>
      <c r="C230">
        <v>0.95255000000000001</v>
      </c>
      <c r="D230" s="27">
        <f t="shared" si="12"/>
        <v>1.8274671750000002</v>
      </c>
      <c r="E230" s="27">
        <f t="shared" si="13"/>
        <v>19.117882597191564</v>
      </c>
      <c r="F230" s="27">
        <f t="shared" si="14"/>
        <v>49.545999999999999</v>
      </c>
      <c r="G230" s="27">
        <f t="shared" si="15"/>
        <v>1.9117882597191564</v>
      </c>
      <c r="H230" s="27">
        <v>0.64573052769854478</v>
      </c>
    </row>
    <row r="231" spans="1:8">
      <c r="A231">
        <v>2021</v>
      </c>
      <c r="B231">
        <v>3.8370000000000001E-2</v>
      </c>
      <c r="C231">
        <v>8.5639999999999994E-2</v>
      </c>
      <c r="D231" s="27">
        <f t="shared" si="12"/>
        <v>0.16430033999999999</v>
      </c>
      <c r="E231" s="27">
        <f t="shared" si="13"/>
        <v>5.7323701904186199</v>
      </c>
      <c r="F231" s="27">
        <f t="shared" si="14"/>
        <v>6.2004999999999999</v>
      </c>
      <c r="G231" s="27">
        <f t="shared" si="15"/>
        <v>0.57323701904186197</v>
      </c>
      <c r="H231" s="27">
        <v>7.1381349211470907E-2</v>
      </c>
    </row>
    <row r="232" spans="1:8">
      <c r="A232">
        <v>2021</v>
      </c>
      <c r="B232">
        <v>3.8370000000000001E-2</v>
      </c>
      <c r="C232">
        <v>1.3899999999999999E-2</v>
      </c>
      <c r="D232" s="27">
        <f t="shared" si="12"/>
        <v>2.6667150000000001E-2</v>
      </c>
      <c r="E232" s="27">
        <f t="shared" si="13"/>
        <v>2.3094220056109278</v>
      </c>
      <c r="F232" s="27">
        <f t="shared" si="14"/>
        <v>2.6134999999999997</v>
      </c>
      <c r="G232" s="27">
        <f t="shared" si="15"/>
        <v>0.23094220056109277</v>
      </c>
      <c r="H232" s="27">
        <v>2.3848756150412081E-2</v>
      </c>
    </row>
    <row r="233" spans="1:8">
      <c r="A233">
        <v>2021</v>
      </c>
      <c r="B233">
        <v>3.8370000000000001E-2</v>
      </c>
      <c r="C233">
        <v>9.9100000000000004E-3</v>
      </c>
      <c r="D233" s="27">
        <f t="shared" si="12"/>
        <v>1.9012335000000002E-2</v>
      </c>
      <c r="E233" s="27">
        <f t="shared" si="13"/>
        <v>1.9499915384431803</v>
      </c>
      <c r="F233" s="27">
        <f t="shared" si="14"/>
        <v>2.4140000000000001</v>
      </c>
      <c r="G233" s="27">
        <f t="shared" si="15"/>
        <v>0.19499915384431801</v>
      </c>
      <c r="H233" s="27">
        <v>2.1202877912437919E-2</v>
      </c>
    </row>
    <row r="234" spans="1:8">
      <c r="A234">
        <v>2021</v>
      </c>
      <c r="B234">
        <v>3.8370000000000001E-2</v>
      </c>
      <c r="C234">
        <v>8.6300000000000005E-3</v>
      </c>
      <c r="D234" s="27">
        <f t="shared" si="12"/>
        <v>1.6556655000000003E-2</v>
      </c>
      <c r="E234" s="27">
        <f t="shared" si="13"/>
        <v>1.819706294982792</v>
      </c>
      <c r="F234" s="27">
        <f t="shared" si="14"/>
        <v>2.35</v>
      </c>
      <c r="G234" s="27">
        <f t="shared" si="15"/>
        <v>0.18197062949827922</v>
      </c>
      <c r="H234" s="27">
        <v>2.03567705084245E-2</v>
      </c>
    </row>
    <row r="235" spans="1:8">
      <c r="A235">
        <v>2021</v>
      </c>
      <c r="B235">
        <v>3.8370000000000001E-2</v>
      </c>
      <c r="C235">
        <v>1.166E-2</v>
      </c>
      <c r="D235" s="27">
        <f t="shared" si="12"/>
        <v>2.2369710000000001E-2</v>
      </c>
      <c r="E235" s="27">
        <f t="shared" si="13"/>
        <v>2.115169496754338</v>
      </c>
      <c r="F235" s="27">
        <f t="shared" si="14"/>
        <v>2.5015000000000001</v>
      </c>
      <c r="G235" s="27">
        <f t="shared" si="15"/>
        <v>0.21151694967543383</v>
      </c>
      <c r="H235" s="27">
        <v>2.2371653394253069E-2</v>
      </c>
    </row>
    <row r="236" spans="1:8">
      <c r="A236">
        <v>2021</v>
      </c>
      <c r="B236">
        <v>0.32397999999999999</v>
      </c>
      <c r="C236">
        <v>0.95255000000000001</v>
      </c>
      <c r="D236" s="27">
        <f t="shared" si="12"/>
        <v>15.430357449999999</v>
      </c>
      <c r="E236" s="27">
        <f t="shared" si="13"/>
        <v>55.552421099354433</v>
      </c>
      <c r="F236" s="27">
        <f t="shared" si="14"/>
        <v>63.826499999999996</v>
      </c>
      <c r="G236" s="27">
        <f t="shared" si="15"/>
        <v>5.5552421099354437</v>
      </c>
      <c r="H236" s="27">
        <v>0.80858469176594083</v>
      </c>
    </row>
    <row r="237" spans="1:8">
      <c r="A237">
        <v>2021</v>
      </c>
      <c r="B237">
        <v>0.32397999999999999</v>
      </c>
      <c r="C237">
        <v>8.5639999999999994E-2</v>
      </c>
      <c r="D237" s="27">
        <f t="shared" si="12"/>
        <v>1.3872823599999999</v>
      </c>
      <c r="E237" s="27">
        <f t="shared" si="13"/>
        <v>16.657024704310189</v>
      </c>
      <c r="F237" s="27">
        <f t="shared" si="14"/>
        <v>20.480999999999998</v>
      </c>
      <c r="G237" s="27">
        <f t="shared" si="15"/>
        <v>1.665702470431019</v>
      </c>
      <c r="H237" s="27">
        <v>0.23423551327886699</v>
      </c>
    </row>
    <row r="238" spans="1:8">
      <c r="A238">
        <v>2021</v>
      </c>
      <c r="B238">
        <v>0.32397999999999999</v>
      </c>
      <c r="C238">
        <v>1.3899999999999999E-2</v>
      </c>
      <c r="D238" s="27">
        <f t="shared" si="12"/>
        <v>0.22516609999999998</v>
      </c>
      <c r="E238" s="27">
        <f t="shared" si="13"/>
        <v>6.7106795483020942</v>
      </c>
      <c r="F238" s="27">
        <f t="shared" si="14"/>
        <v>16.894000000000002</v>
      </c>
      <c r="G238" s="27">
        <f t="shared" si="15"/>
        <v>0.67106795483020942</v>
      </c>
      <c r="H238" s="27">
        <v>0.1867029202178081</v>
      </c>
    </row>
    <row r="239" spans="1:8">
      <c r="A239">
        <v>2021</v>
      </c>
      <c r="B239">
        <v>0.32397999999999999</v>
      </c>
      <c r="C239">
        <v>9.9100000000000004E-3</v>
      </c>
      <c r="D239" s="27">
        <f t="shared" si="12"/>
        <v>0.16053208999999999</v>
      </c>
      <c r="E239" s="27">
        <f t="shared" si="13"/>
        <v>5.6662525534960055</v>
      </c>
      <c r="F239" s="27">
        <f t="shared" si="14"/>
        <v>16.694499999999998</v>
      </c>
      <c r="G239" s="27">
        <f t="shared" si="15"/>
        <v>0.56662525534960051</v>
      </c>
      <c r="H239" s="27">
        <v>0.18405704197983391</v>
      </c>
    </row>
    <row r="240" spans="1:8">
      <c r="A240">
        <v>2021</v>
      </c>
      <c r="B240">
        <v>0.32397999999999999</v>
      </c>
      <c r="C240">
        <v>8.6300000000000005E-3</v>
      </c>
      <c r="D240" s="27">
        <f t="shared" si="12"/>
        <v>0.13979737</v>
      </c>
      <c r="E240" s="27">
        <f t="shared" si="13"/>
        <v>5.287671888459041</v>
      </c>
      <c r="F240" s="27">
        <f t="shared" si="14"/>
        <v>16.630500000000001</v>
      </c>
      <c r="G240" s="27">
        <f t="shared" si="15"/>
        <v>0.52876718884590412</v>
      </c>
      <c r="H240" s="27">
        <v>0.18321093457582049</v>
      </c>
    </row>
    <row r="241" spans="1:8">
      <c r="A241">
        <v>2021</v>
      </c>
      <c r="B241">
        <v>0.32397999999999999</v>
      </c>
      <c r="C241">
        <v>1.166E-2</v>
      </c>
      <c r="D241" s="27">
        <f t="shared" si="12"/>
        <v>0.18888034000000001</v>
      </c>
      <c r="E241" s="27">
        <f t="shared" si="13"/>
        <v>6.1462238813762715</v>
      </c>
      <c r="F241" s="27">
        <f t="shared" si="14"/>
        <v>16.782</v>
      </c>
      <c r="G241" s="27">
        <f t="shared" si="15"/>
        <v>0.61462238813762715</v>
      </c>
      <c r="H241" s="27">
        <v>0.18522581746164909</v>
      </c>
    </row>
    <row r="242" spans="1:8">
      <c r="A242">
        <v>2022</v>
      </c>
      <c r="B242">
        <v>2.5229999999999999E-2</v>
      </c>
      <c r="C242">
        <v>0.93737000000000004</v>
      </c>
      <c r="D242" s="27">
        <f t="shared" si="12"/>
        <v>1.1824922550000001</v>
      </c>
      <c r="E242" s="27">
        <f t="shared" si="13"/>
        <v>15.378506136813158</v>
      </c>
      <c r="F242" s="27">
        <f t="shared" si="14"/>
        <v>48.13</v>
      </c>
      <c r="G242" s="27">
        <f t="shared" si="15"/>
        <v>1.5378506136813159</v>
      </c>
      <c r="H242" s="27">
        <v>0.62695841597221313</v>
      </c>
    </row>
    <row r="243" spans="1:8">
      <c r="A243">
        <v>2022</v>
      </c>
      <c r="B243">
        <v>2.5229999999999999E-2</v>
      </c>
      <c r="C243">
        <v>0.10577</v>
      </c>
      <c r="D243" s="27">
        <f t="shared" si="12"/>
        <v>0.13342885500000001</v>
      </c>
      <c r="E243" s="27">
        <f t="shared" si="13"/>
        <v>5.1658272328834229</v>
      </c>
      <c r="F243" s="27">
        <f t="shared" si="14"/>
        <v>6.5500000000000007</v>
      </c>
      <c r="G243" s="27">
        <f t="shared" si="15"/>
        <v>0.51658272328834232</v>
      </c>
      <c r="H243" s="27">
        <v>7.8666477368061011E-2</v>
      </c>
    </row>
    <row r="244" spans="1:8">
      <c r="A244">
        <v>2022</v>
      </c>
      <c r="B244">
        <v>2.5229999999999999E-2</v>
      </c>
      <c r="C244">
        <v>8.3099999999999997E-3</v>
      </c>
      <c r="D244" s="27">
        <f t="shared" si="12"/>
        <v>1.0483065E-2</v>
      </c>
      <c r="E244" s="27">
        <f t="shared" si="13"/>
        <v>1.4479685770071118</v>
      </c>
      <c r="F244" s="27">
        <f t="shared" si="14"/>
        <v>1.677</v>
      </c>
      <c r="G244" s="27">
        <f t="shared" si="15"/>
        <v>0.14479685770071116</v>
      </c>
      <c r="H244" s="27">
        <v>1.4412507475143801E-2</v>
      </c>
    </row>
    <row r="245" spans="1:8">
      <c r="A245">
        <v>2022</v>
      </c>
      <c r="B245">
        <v>2.5229999999999999E-2</v>
      </c>
      <c r="C245">
        <v>1.374E-2</v>
      </c>
      <c r="D245" s="27">
        <f t="shared" si="12"/>
        <v>1.7333009999999999E-2</v>
      </c>
      <c r="E245" s="27">
        <f t="shared" si="13"/>
        <v>1.8618813066358444</v>
      </c>
      <c r="F245" s="27">
        <f t="shared" si="14"/>
        <v>1.9484999999999999</v>
      </c>
      <c r="G245" s="27">
        <f t="shared" si="15"/>
        <v>0.18618813066358444</v>
      </c>
      <c r="H245" s="27">
        <v>1.7990537937878508E-2</v>
      </c>
    </row>
    <row r="246" spans="1:8">
      <c r="A246">
        <v>2022</v>
      </c>
      <c r="B246">
        <v>2.5229999999999999E-2</v>
      </c>
      <c r="C246">
        <v>8.1499999999999993E-3</v>
      </c>
      <c r="D246" s="27">
        <f t="shared" si="12"/>
        <v>1.0281224999999998E-2</v>
      </c>
      <c r="E246" s="27">
        <f t="shared" si="13"/>
        <v>1.4339612965488293</v>
      </c>
      <c r="F246" s="27">
        <f t="shared" si="14"/>
        <v>1.669</v>
      </c>
      <c r="G246" s="27">
        <f t="shared" si="15"/>
        <v>0.14339612965488294</v>
      </c>
      <c r="H246" s="27">
        <v>1.430495144920989E-2</v>
      </c>
    </row>
    <row r="247" spans="1:8">
      <c r="A247">
        <v>2022</v>
      </c>
      <c r="B247">
        <v>2.5229999999999999E-2</v>
      </c>
      <c r="C247">
        <v>1.422E-2</v>
      </c>
      <c r="D247" s="27">
        <f t="shared" si="12"/>
        <v>1.7938530000000001E-2</v>
      </c>
      <c r="E247" s="27">
        <f t="shared" si="13"/>
        <v>1.89412407196572</v>
      </c>
      <c r="F247" s="27">
        <f t="shared" si="14"/>
        <v>1.9724999999999999</v>
      </c>
      <c r="G247" s="27">
        <f t="shared" si="15"/>
        <v>0.18941240719657201</v>
      </c>
      <c r="H247" s="27">
        <v>1.8306035613951301E-2</v>
      </c>
    </row>
    <row r="248" spans="1:8">
      <c r="A248">
        <v>2022</v>
      </c>
      <c r="B248">
        <v>0.39041999999999999</v>
      </c>
      <c r="C248">
        <v>0.93737000000000004</v>
      </c>
      <c r="D248" s="27">
        <f t="shared" si="12"/>
        <v>18.29839977</v>
      </c>
      <c r="E248" s="27">
        <f t="shared" si="13"/>
        <v>60.4952886925916</v>
      </c>
      <c r="F248" s="27">
        <f t="shared" si="14"/>
        <v>66.389499999999998</v>
      </c>
      <c r="G248" s="27">
        <f t="shared" si="15"/>
        <v>6.0495288692591593</v>
      </c>
      <c r="H248" s="27">
        <v>0.86100032840439888</v>
      </c>
    </row>
    <row r="249" spans="1:8">
      <c r="A249">
        <v>2022</v>
      </c>
      <c r="B249">
        <v>0.39041999999999999</v>
      </c>
      <c r="C249">
        <v>0.10577</v>
      </c>
      <c r="D249" s="27">
        <f t="shared" si="12"/>
        <v>2.0647361699999998</v>
      </c>
      <c r="E249" s="27">
        <f t="shared" si="13"/>
        <v>20.321103168873485</v>
      </c>
      <c r="F249" s="27">
        <f t="shared" si="14"/>
        <v>24.8095</v>
      </c>
      <c r="G249" s="27">
        <f t="shared" si="15"/>
        <v>2.0321103168873482</v>
      </c>
      <c r="H249" s="27">
        <v>0.3127083898002469</v>
      </c>
    </row>
    <row r="250" spans="1:8">
      <c r="A250">
        <v>2022</v>
      </c>
      <c r="B250">
        <v>0.39041999999999999</v>
      </c>
      <c r="C250">
        <v>8.3099999999999997E-3</v>
      </c>
      <c r="D250" s="27">
        <f t="shared" si="12"/>
        <v>0.16221950999999998</v>
      </c>
      <c r="E250" s="27">
        <f t="shared" si="13"/>
        <v>5.6959548804392757</v>
      </c>
      <c r="F250" s="27">
        <f t="shared" si="14"/>
        <v>19.936499999999999</v>
      </c>
      <c r="G250" s="27">
        <f t="shared" si="15"/>
        <v>0.56959548804392746</v>
      </c>
      <c r="H250" s="27">
        <v>0.24845441990732969</v>
      </c>
    </row>
    <row r="251" spans="1:8">
      <c r="A251">
        <v>2022</v>
      </c>
      <c r="B251">
        <v>0.39041999999999999</v>
      </c>
      <c r="C251">
        <v>1.374E-2</v>
      </c>
      <c r="D251" s="27">
        <f t="shared" si="12"/>
        <v>0.26821854000000001</v>
      </c>
      <c r="E251" s="27">
        <f t="shared" si="13"/>
        <v>7.3241865077290313</v>
      </c>
      <c r="F251" s="27">
        <f t="shared" si="14"/>
        <v>20.207999999999998</v>
      </c>
      <c r="G251" s="27">
        <f t="shared" si="15"/>
        <v>0.73241865077290325</v>
      </c>
      <c r="H251" s="27">
        <v>0.25203245037006428</v>
      </c>
    </row>
    <row r="252" spans="1:8">
      <c r="A252">
        <v>2022</v>
      </c>
      <c r="B252">
        <v>0.39041999999999999</v>
      </c>
      <c r="C252">
        <v>8.1499999999999993E-3</v>
      </c>
      <c r="D252" s="27">
        <f t="shared" si="12"/>
        <v>0.15909614999999999</v>
      </c>
      <c r="E252" s="27">
        <f t="shared" si="13"/>
        <v>5.6408536588002347</v>
      </c>
      <c r="F252" s="27">
        <f t="shared" si="14"/>
        <v>19.9285</v>
      </c>
      <c r="G252" s="27">
        <f t="shared" si="15"/>
        <v>0.56408536588002345</v>
      </c>
      <c r="H252" s="27">
        <v>0.24834686388139579</v>
      </c>
    </row>
    <row r="253" spans="1:8">
      <c r="A253">
        <v>2022</v>
      </c>
      <c r="B253">
        <v>0.39041999999999999</v>
      </c>
      <c r="C253">
        <v>1.422E-2</v>
      </c>
      <c r="D253" s="27">
        <f t="shared" si="12"/>
        <v>0.27758862000000001</v>
      </c>
      <c r="E253" s="27">
        <f t="shared" si="13"/>
        <v>7.4510216749114342</v>
      </c>
      <c r="F253" s="27">
        <f t="shared" si="14"/>
        <v>20.231999999999999</v>
      </c>
      <c r="G253" s="27">
        <f t="shared" si="15"/>
        <v>0.74510216749114344</v>
      </c>
      <c r="H253" s="27">
        <v>0.25234794804613719</v>
      </c>
    </row>
    <row r="254" spans="1:8">
      <c r="A254">
        <v>2022</v>
      </c>
      <c r="B254">
        <v>0.31233</v>
      </c>
      <c r="C254">
        <v>0.93737000000000004</v>
      </c>
      <c r="D254" s="27">
        <f t="shared" si="12"/>
        <v>14.638438605000001</v>
      </c>
      <c r="E254" s="27">
        <f t="shared" si="13"/>
        <v>54.108111415942062</v>
      </c>
      <c r="F254" s="27">
        <f t="shared" si="14"/>
        <v>62.484999999999999</v>
      </c>
      <c r="G254" s="27">
        <f t="shared" si="15"/>
        <v>5.4108111415942064</v>
      </c>
      <c r="H254" s="27">
        <v>0.81095809473821567</v>
      </c>
    </row>
    <row r="255" spans="1:8">
      <c r="A255">
        <v>2022</v>
      </c>
      <c r="B255">
        <v>0.31233</v>
      </c>
      <c r="C255">
        <v>0.10577</v>
      </c>
      <c r="D255" s="27">
        <f t="shared" si="12"/>
        <v>1.6517572050000002</v>
      </c>
      <c r="E255" s="27">
        <f t="shared" si="13"/>
        <v>18.175572645724262</v>
      </c>
      <c r="F255" s="27">
        <f t="shared" si="14"/>
        <v>20.905000000000001</v>
      </c>
      <c r="G255" s="27">
        <f t="shared" si="15"/>
        <v>1.8175572645724263</v>
      </c>
      <c r="H255" s="27">
        <v>0.26266615613406358</v>
      </c>
    </row>
    <row r="256" spans="1:8">
      <c r="A256">
        <v>2022</v>
      </c>
      <c r="B256">
        <v>0.31233</v>
      </c>
      <c r="C256">
        <v>8.3099999999999997E-3</v>
      </c>
      <c r="D256" s="27">
        <f t="shared" si="12"/>
        <v>0.12977311499999999</v>
      </c>
      <c r="E256" s="27">
        <f t="shared" si="13"/>
        <v>5.0945679895355207</v>
      </c>
      <c r="F256" s="27">
        <f t="shared" si="14"/>
        <v>16.032</v>
      </c>
      <c r="G256" s="27">
        <f t="shared" si="15"/>
        <v>0.50945679895355211</v>
      </c>
      <c r="H256" s="27">
        <v>0.19841218624114629</v>
      </c>
    </row>
    <row r="257" spans="1:8">
      <c r="A257">
        <v>2022</v>
      </c>
      <c r="B257">
        <v>0.31233</v>
      </c>
      <c r="C257">
        <v>1.374E-2</v>
      </c>
      <c r="D257" s="27">
        <f t="shared" si="12"/>
        <v>0.21457071000000003</v>
      </c>
      <c r="E257" s="27">
        <f t="shared" si="13"/>
        <v>6.5508886420088075</v>
      </c>
      <c r="F257" s="27">
        <f t="shared" si="14"/>
        <v>16.3035</v>
      </c>
      <c r="G257" s="27">
        <f t="shared" si="15"/>
        <v>0.65508886420088075</v>
      </c>
      <c r="H257" s="27">
        <v>0.20199021670388101</v>
      </c>
    </row>
    <row r="258" spans="1:8">
      <c r="A258">
        <v>2022</v>
      </c>
      <c r="B258">
        <v>0.31233</v>
      </c>
      <c r="C258">
        <v>8.1499999999999993E-3</v>
      </c>
      <c r="D258" s="27">
        <f t="shared" ref="D258:D321" si="16">((B258*C258)/2)*100</f>
        <v>0.127274475</v>
      </c>
      <c r="E258" s="27">
        <f t="shared" ref="E258:E301" si="17">(SQRT(B258*C258))*100</f>
        <v>5.0452844320216474</v>
      </c>
      <c r="F258" s="27">
        <f t="shared" ref="F258:F301" si="18">(AVERAGE(B258:C258))*100</f>
        <v>16.024000000000001</v>
      </c>
      <c r="G258" s="27">
        <f t="shared" ref="G258:G301" si="19">SQRT((B258*C258)*100)</f>
        <v>0.50452844320216472</v>
      </c>
      <c r="H258" s="27">
        <v>0.19830463021521241</v>
      </c>
    </row>
    <row r="259" spans="1:8">
      <c r="A259">
        <v>2022</v>
      </c>
      <c r="B259">
        <v>0.31233</v>
      </c>
      <c r="C259">
        <v>1.422E-2</v>
      </c>
      <c r="D259" s="27">
        <f t="shared" si="16"/>
        <v>0.22206663000000001</v>
      </c>
      <c r="E259" s="27">
        <f t="shared" si="17"/>
        <v>6.6643323746643972</v>
      </c>
      <c r="F259" s="27">
        <f t="shared" si="18"/>
        <v>16.327500000000001</v>
      </c>
      <c r="G259" s="27">
        <f t="shared" si="19"/>
        <v>0.66643323746643968</v>
      </c>
      <c r="H259" s="27">
        <v>0.20230571437995379</v>
      </c>
    </row>
    <row r="260" spans="1:8">
      <c r="A260">
        <v>2022</v>
      </c>
      <c r="B260">
        <v>1.583E-2</v>
      </c>
      <c r="C260">
        <v>0.93737000000000004</v>
      </c>
      <c r="D260" s="27">
        <f t="shared" si="16"/>
        <v>0.74192835499999998</v>
      </c>
      <c r="E260" s="27">
        <f t="shared" si="17"/>
        <v>12.181365728029022</v>
      </c>
      <c r="F260" s="27">
        <f t="shared" si="18"/>
        <v>47.660000000000004</v>
      </c>
      <c r="G260" s="27">
        <f t="shared" si="19"/>
        <v>1.2181365728029021</v>
      </c>
      <c r="H260" s="27">
        <v>0.62092810811818533</v>
      </c>
    </row>
    <row r="261" spans="1:8">
      <c r="A261">
        <v>2022</v>
      </c>
      <c r="B261">
        <v>1.583E-2</v>
      </c>
      <c r="C261">
        <v>0.10577</v>
      </c>
      <c r="D261" s="27">
        <f t="shared" si="16"/>
        <v>8.3716954999999996E-2</v>
      </c>
      <c r="E261" s="27">
        <f t="shared" si="17"/>
        <v>4.091868888417614</v>
      </c>
      <c r="F261" s="27">
        <f t="shared" si="18"/>
        <v>6.08</v>
      </c>
      <c r="G261" s="27">
        <f t="shared" si="19"/>
        <v>0.40918688884176141</v>
      </c>
      <c r="H261" s="27">
        <v>7.2636169514033191E-2</v>
      </c>
    </row>
    <row r="262" spans="1:8">
      <c r="A262">
        <v>2022</v>
      </c>
      <c r="B262">
        <v>1.583E-2</v>
      </c>
      <c r="C262">
        <v>8.3099999999999997E-3</v>
      </c>
      <c r="D262" s="27">
        <f t="shared" si="16"/>
        <v>6.5773649999999999E-3</v>
      </c>
      <c r="E262" s="27">
        <f t="shared" si="17"/>
        <v>1.1469407133762406</v>
      </c>
      <c r="F262" s="27">
        <f t="shared" si="18"/>
        <v>1.2070000000000001</v>
      </c>
      <c r="G262" s="27">
        <f t="shared" si="19"/>
        <v>0.11469407133762408</v>
      </c>
      <c r="H262" s="27">
        <v>8.3821996211159711E-3</v>
      </c>
    </row>
    <row r="263" spans="1:8">
      <c r="A263">
        <v>2022</v>
      </c>
      <c r="B263">
        <v>1.583E-2</v>
      </c>
      <c r="C263">
        <v>1.374E-2</v>
      </c>
      <c r="D263" s="27">
        <f t="shared" si="16"/>
        <v>1.0875210000000001E-2</v>
      </c>
      <c r="E263" s="27">
        <f t="shared" si="17"/>
        <v>1.4748023596400979</v>
      </c>
      <c r="F263" s="27">
        <f t="shared" si="18"/>
        <v>1.4784999999999999</v>
      </c>
      <c r="G263" s="27">
        <f t="shared" si="19"/>
        <v>0.14748023596400978</v>
      </c>
      <c r="H263" s="27">
        <v>1.196023008385068E-2</v>
      </c>
    </row>
    <row r="264" spans="1:8">
      <c r="A264">
        <v>2022</v>
      </c>
      <c r="B264">
        <v>1.583E-2</v>
      </c>
      <c r="C264">
        <v>8.1499999999999993E-3</v>
      </c>
      <c r="D264" s="27">
        <f t="shared" si="16"/>
        <v>6.450725E-3</v>
      </c>
      <c r="E264" s="27">
        <f t="shared" si="17"/>
        <v>1.1358455000571162</v>
      </c>
      <c r="F264" s="27">
        <f t="shared" si="18"/>
        <v>1.1990000000000001</v>
      </c>
      <c r="G264" s="27">
        <f t="shared" si="19"/>
        <v>0.1135845500057116</v>
      </c>
      <c r="H264" s="27">
        <v>8.2746435951820616E-3</v>
      </c>
    </row>
    <row r="265" spans="1:8">
      <c r="A265">
        <v>2022</v>
      </c>
      <c r="B265">
        <v>1.583E-2</v>
      </c>
      <c r="C265">
        <v>1.422E-2</v>
      </c>
      <c r="D265" s="27">
        <f t="shared" si="16"/>
        <v>1.125513E-2</v>
      </c>
      <c r="E265" s="27">
        <f t="shared" si="17"/>
        <v>1.5003419610208868</v>
      </c>
      <c r="F265" s="27">
        <f t="shared" si="18"/>
        <v>1.5024999999999999</v>
      </c>
      <c r="G265" s="27">
        <f t="shared" si="19"/>
        <v>0.15003419610208868</v>
      </c>
      <c r="H265" s="27">
        <v>1.227572775992347E-2</v>
      </c>
    </row>
    <row r="266" spans="1:8">
      <c r="A266">
        <v>2022</v>
      </c>
      <c r="B266">
        <v>9.2560000000000003E-2</v>
      </c>
      <c r="C266">
        <v>0.93737000000000004</v>
      </c>
      <c r="D266" s="27">
        <f t="shared" si="16"/>
        <v>4.3381483600000008</v>
      </c>
      <c r="E266" s="27">
        <f t="shared" si="17"/>
        <v>29.455554179135724</v>
      </c>
      <c r="F266" s="27">
        <f t="shared" si="18"/>
        <v>51.496499999999997</v>
      </c>
      <c r="G266" s="27">
        <f t="shared" si="19"/>
        <v>2.9455554179135728</v>
      </c>
      <c r="H266" s="27">
        <v>0.67010989357689743</v>
      </c>
    </row>
    <row r="267" spans="1:8">
      <c r="A267">
        <v>2022</v>
      </c>
      <c r="B267">
        <v>9.2560000000000003E-2</v>
      </c>
      <c r="C267">
        <v>0.10577</v>
      </c>
      <c r="D267" s="27">
        <f t="shared" si="16"/>
        <v>0.48950356</v>
      </c>
      <c r="E267" s="27">
        <f t="shared" si="17"/>
        <v>9.8944788644981205</v>
      </c>
      <c r="F267" s="27">
        <f t="shared" si="18"/>
        <v>9.916500000000001</v>
      </c>
      <c r="G267" s="27">
        <f t="shared" si="19"/>
        <v>0.98944788644981196</v>
      </c>
      <c r="H267" s="27">
        <v>0.12181795497274529</v>
      </c>
    </row>
    <row r="268" spans="1:8">
      <c r="A268">
        <v>2022</v>
      </c>
      <c r="B268">
        <v>9.2560000000000003E-2</v>
      </c>
      <c r="C268">
        <v>8.3099999999999997E-3</v>
      </c>
      <c r="D268" s="27">
        <f t="shared" si="16"/>
        <v>3.8458680000000002E-2</v>
      </c>
      <c r="E268" s="27">
        <f t="shared" si="17"/>
        <v>2.7733979159147002</v>
      </c>
      <c r="F268" s="27">
        <f t="shared" si="18"/>
        <v>5.0434999999999999</v>
      </c>
      <c r="G268" s="27">
        <f t="shared" si="19"/>
        <v>0.27733979159146999</v>
      </c>
      <c r="H268" s="27">
        <v>0.37761008598267698</v>
      </c>
    </row>
    <row r="269" spans="1:8">
      <c r="A269">
        <v>2022</v>
      </c>
      <c r="B269">
        <v>9.2560000000000003E-2</v>
      </c>
      <c r="C269">
        <v>1.374E-2</v>
      </c>
      <c r="D269" s="27">
        <f t="shared" si="16"/>
        <v>6.3588720000000015E-2</v>
      </c>
      <c r="E269" s="27">
        <f t="shared" si="17"/>
        <v>3.5661946105057143</v>
      </c>
      <c r="F269" s="27">
        <f t="shared" si="18"/>
        <v>5.3150000000000004</v>
      </c>
      <c r="G269" s="27">
        <f t="shared" si="19"/>
        <v>0.35661946105057141</v>
      </c>
      <c r="H269" s="27">
        <v>0.43238119958908799</v>
      </c>
    </row>
    <row r="270" spans="1:8">
      <c r="A270">
        <v>2022</v>
      </c>
      <c r="B270">
        <v>9.2560000000000003E-2</v>
      </c>
      <c r="C270">
        <v>8.1499999999999993E-3</v>
      </c>
      <c r="D270" s="27">
        <f t="shared" si="16"/>
        <v>3.77182E-2</v>
      </c>
      <c r="E270" s="27">
        <f t="shared" si="17"/>
        <v>2.7465687684818669</v>
      </c>
      <c r="F270" s="27">
        <f t="shared" si="18"/>
        <v>5.0355000000000008</v>
      </c>
      <c r="G270" s="27">
        <f t="shared" si="19"/>
        <v>0.27465687684818674</v>
      </c>
      <c r="H270" s="27">
        <v>0.48715231319550001</v>
      </c>
    </row>
    <row r="271" spans="1:8">
      <c r="A271">
        <v>2022</v>
      </c>
      <c r="B271">
        <v>9.2560000000000003E-2</v>
      </c>
      <c r="C271">
        <v>1.422E-2</v>
      </c>
      <c r="D271" s="27">
        <f t="shared" si="16"/>
        <v>6.5810160000000006E-2</v>
      </c>
      <c r="E271" s="27">
        <f t="shared" si="17"/>
        <v>3.6279514880990349</v>
      </c>
      <c r="F271" s="27">
        <f t="shared" si="18"/>
        <v>5.3390000000000004</v>
      </c>
      <c r="G271" s="27">
        <f t="shared" si="19"/>
        <v>0.36279514880990349</v>
      </c>
      <c r="H271" s="27">
        <v>0.54192342680190997</v>
      </c>
    </row>
    <row r="272" spans="1:8">
      <c r="A272">
        <v>2022</v>
      </c>
      <c r="B272">
        <v>5.6699999999999997E-3</v>
      </c>
      <c r="C272">
        <v>0.93737000000000004</v>
      </c>
      <c r="D272" s="27">
        <f t="shared" si="16"/>
        <v>0.26574439499999997</v>
      </c>
      <c r="E272" s="27">
        <f t="shared" si="17"/>
        <v>7.2903277704092284</v>
      </c>
      <c r="F272" s="27">
        <f t="shared" si="18"/>
        <v>47.152000000000001</v>
      </c>
      <c r="G272" s="27">
        <f t="shared" si="19"/>
        <v>0.72903277704092284</v>
      </c>
      <c r="H272" s="27">
        <v>0.59669454040832004</v>
      </c>
    </row>
    <row r="273" spans="1:8">
      <c r="A273">
        <v>2022</v>
      </c>
      <c r="B273">
        <v>5.6699999999999997E-3</v>
      </c>
      <c r="C273">
        <v>0.10577</v>
      </c>
      <c r="D273" s="27">
        <f t="shared" si="16"/>
        <v>2.9985794999999999E-2</v>
      </c>
      <c r="E273" s="27">
        <f t="shared" si="17"/>
        <v>2.4489097574226784</v>
      </c>
      <c r="F273" s="27">
        <f t="shared" si="18"/>
        <v>5.5720000000000001</v>
      </c>
      <c r="G273" s="27">
        <f t="shared" si="19"/>
        <v>0.24489097574226781</v>
      </c>
      <c r="H273" s="27">
        <v>0.651465654014731</v>
      </c>
    </row>
    <row r="274" spans="1:8">
      <c r="A274">
        <v>2022</v>
      </c>
      <c r="B274">
        <v>5.6699999999999997E-3</v>
      </c>
      <c r="C274">
        <v>8.3099999999999997E-3</v>
      </c>
      <c r="D274" s="27">
        <f t="shared" si="16"/>
        <v>2.3558849999999998E-3</v>
      </c>
      <c r="E274" s="27">
        <f t="shared" si="17"/>
        <v>0.68642333876406036</v>
      </c>
      <c r="F274" s="27">
        <f t="shared" si="18"/>
        <v>0.69899999999999995</v>
      </c>
      <c r="G274" s="27">
        <f t="shared" si="19"/>
        <v>6.8642333876406031E-2</v>
      </c>
      <c r="H274" s="27">
        <v>0.70623676762114296</v>
      </c>
    </row>
    <row r="275" spans="1:8">
      <c r="A275">
        <v>2022</v>
      </c>
      <c r="B275">
        <v>5.6699999999999997E-3</v>
      </c>
      <c r="C275">
        <v>1.374E-2</v>
      </c>
      <c r="D275" s="27">
        <f t="shared" si="16"/>
        <v>3.8952899999999996E-3</v>
      </c>
      <c r="E275" s="27">
        <f t="shared" si="17"/>
        <v>0.88264262303607344</v>
      </c>
      <c r="F275" s="27">
        <f t="shared" si="18"/>
        <v>0.97050000000000003</v>
      </c>
      <c r="G275" s="27">
        <f t="shared" si="19"/>
        <v>8.8264262303607344E-2</v>
      </c>
      <c r="H275" s="27">
        <v>0.76100788122755403</v>
      </c>
    </row>
    <row r="276" spans="1:8">
      <c r="A276">
        <v>2022</v>
      </c>
      <c r="B276">
        <v>5.6699999999999997E-3</v>
      </c>
      <c r="C276">
        <v>8.1499999999999993E-3</v>
      </c>
      <c r="D276" s="27">
        <f t="shared" si="16"/>
        <v>2.3105249999999999E-3</v>
      </c>
      <c r="E276" s="27">
        <f t="shared" si="17"/>
        <v>0.67978305362814095</v>
      </c>
      <c r="F276" s="27">
        <f t="shared" si="18"/>
        <v>0.69099999999999995</v>
      </c>
      <c r="G276" s="27">
        <f t="shared" si="19"/>
        <v>6.7978305362814101E-2</v>
      </c>
      <c r="H276" s="27">
        <v>0.81577899483396399</v>
      </c>
    </row>
    <row r="277" spans="1:8">
      <c r="A277">
        <v>2022</v>
      </c>
      <c r="B277">
        <v>5.6699999999999997E-3</v>
      </c>
      <c r="C277">
        <v>1.422E-2</v>
      </c>
      <c r="D277" s="27">
        <f t="shared" si="16"/>
        <v>4.0313700000000003E-3</v>
      </c>
      <c r="E277" s="27">
        <f t="shared" si="17"/>
        <v>0.89792761400905807</v>
      </c>
      <c r="F277" s="27">
        <f t="shared" si="18"/>
        <v>0.99449999999999994</v>
      </c>
      <c r="G277" s="27">
        <f t="shared" si="19"/>
        <v>8.9792761400905807E-2</v>
      </c>
      <c r="H277" s="27">
        <v>0.87055010844037595</v>
      </c>
    </row>
    <row r="278" spans="1:8">
      <c r="A278">
        <v>2022</v>
      </c>
      <c r="B278">
        <v>2.6720000000000001E-2</v>
      </c>
      <c r="C278">
        <v>0.93737000000000004</v>
      </c>
      <c r="D278" s="27">
        <f t="shared" si="16"/>
        <v>1.2523263200000001</v>
      </c>
      <c r="E278" s="27">
        <f t="shared" si="17"/>
        <v>15.826094401336041</v>
      </c>
      <c r="F278" s="27">
        <f t="shared" si="18"/>
        <v>48.204500000000003</v>
      </c>
      <c r="G278" s="27">
        <f t="shared" si="19"/>
        <v>1.5826094401336042</v>
      </c>
      <c r="H278" s="27">
        <v>0.92532122204678702</v>
      </c>
    </row>
    <row r="279" spans="1:8">
      <c r="A279">
        <v>2022</v>
      </c>
      <c r="B279">
        <v>2.6720000000000001E-2</v>
      </c>
      <c r="C279">
        <v>0.10577</v>
      </c>
      <c r="D279" s="27">
        <f t="shared" si="16"/>
        <v>0.14130872</v>
      </c>
      <c r="E279" s="27">
        <f t="shared" si="17"/>
        <v>5.3161775741598403</v>
      </c>
      <c r="F279" s="27">
        <f t="shared" si="18"/>
        <v>6.6244999999999994</v>
      </c>
      <c r="G279" s="27">
        <f t="shared" si="19"/>
        <v>0.53161775741598394</v>
      </c>
      <c r="H279" s="27">
        <v>0.98009233565319698</v>
      </c>
    </row>
    <row r="280" spans="1:8">
      <c r="A280">
        <v>2022</v>
      </c>
      <c r="B280">
        <v>2.6720000000000001E-2</v>
      </c>
      <c r="C280">
        <v>8.3099999999999997E-3</v>
      </c>
      <c r="D280" s="27">
        <f t="shared" si="16"/>
        <v>1.110216E-2</v>
      </c>
      <c r="E280" s="27">
        <f t="shared" si="17"/>
        <v>1.4901114052311659</v>
      </c>
      <c r="F280" s="27">
        <f t="shared" si="18"/>
        <v>1.7514999999999998</v>
      </c>
      <c r="G280" s="27">
        <f t="shared" si="19"/>
        <v>0.14901114052311659</v>
      </c>
      <c r="H280" s="27">
        <v>1.03486344925961</v>
      </c>
    </row>
    <row r="281" spans="1:8">
      <c r="A281">
        <v>2022</v>
      </c>
      <c r="B281">
        <v>2.6720000000000001E-2</v>
      </c>
      <c r="C281">
        <v>1.374E-2</v>
      </c>
      <c r="D281" s="27">
        <f t="shared" si="16"/>
        <v>1.835664E-2</v>
      </c>
      <c r="E281" s="27">
        <f t="shared" si="17"/>
        <v>1.9160709798960995</v>
      </c>
      <c r="F281" s="27">
        <f t="shared" si="18"/>
        <v>2.0230000000000001</v>
      </c>
      <c r="G281" s="27">
        <f t="shared" si="19"/>
        <v>0.19160709798960998</v>
      </c>
      <c r="H281" s="27">
        <v>1.08963456286602</v>
      </c>
    </row>
    <row r="282" spans="1:8">
      <c r="A282">
        <v>2022</v>
      </c>
      <c r="B282">
        <v>2.6720000000000001E-2</v>
      </c>
      <c r="C282">
        <v>8.1499999999999993E-3</v>
      </c>
      <c r="D282" s="27">
        <f t="shared" si="16"/>
        <v>1.0888399999999999E-2</v>
      </c>
      <c r="E282" s="27">
        <f t="shared" si="17"/>
        <v>1.4756964457502768</v>
      </c>
      <c r="F282" s="27">
        <f t="shared" si="18"/>
        <v>1.7434999999999998</v>
      </c>
      <c r="G282" s="27">
        <f t="shared" si="19"/>
        <v>0.14756964457502769</v>
      </c>
      <c r="H282" s="27">
        <v>1.14440567647243</v>
      </c>
    </row>
    <row r="283" spans="1:8">
      <c r="A283">
        <v>2022</v>
      </c>
      <c r="B283">
        <v>2.6720000000000001E-2</v>
      </c>
      <c r="C283">
        <v>1.422E-2</v>
      </c>
      <c r="D283" s="27">
        <f t="shared" si="16"/>
        <v>1.8997919999999998E-2</v>
      </c>
      <c r="E283" s="27">
        <f t="shared" si="17"/>
        <v>1.9492521642927578</v>
      </c>
      <c r="F283" s="27">
        <f t="shared" si="18"/>
        <v>2.0470000000000002</v>
      </c>
      <c r="G283" s="27">
        <f t="shared" si="19"/>
        <v>0.19492521642927577</v>
      </c>
      <c r="H283" s="27">
        <v>1.1991767900788399</v>
      </c>
    </row>
    <row r="284" spans="1:8">
      <c r="A284">
        <v>2022</v>
      </c>
      <c r="B284">
        <v>7.3200000000000001E-3</v>
      </c>
      <c r="C284">
        <v>0.93737000000000004</v>
      </c>
      <c r="D284" s="27">
        <f t="shared" si="16"/>
        <v>0.34307742000000002</v>
      </c>
      <c r="E284" s="27">
        <f t="shared" si="17"/>
        <v>8.2834463842050674</v>
      </c>
      <c r="F284" s="27">
        <f t="shared" si="18"/>
        <v>47.234500000000004</v>
      </c>
      <c r="G284" s="27">
        <f t="shared" si="19"/>
        <v>0.82834463842050676</v>
      </c>
      <c r="H284" s="27">
        <v>1.2539479036852501</v>
      </c>
    </row>
    <row r="285" spans="1:8">
      <c r="A285">
        <v>2022</v>
      </c>
      <c r="B285">
        <v>7.3200000000000001E-3</v>
      </c>
      <c r="C285">
        <v>0.10577</v>
      </c>
      <c r="D285" s="27">
        <f t="shared" si="16"/>
        <v>3.8711820000000001E-2</v>
      </c>
      <c r="E285" s="27">
        <f t="shared" si="17"/>
        <v>2.7825103773391393</v>
      </c>
      <c r="F285" s="27">
        <f t="shared" si="18"/>
        <v>5.6544999999999996</v>
      </c>
      <c r="G285" s="27">
        <f t="shared" si="19"/>
        <v>0.27825103773391396</v>
      </c>
      <c r="H285" s="27">
        <v>1.3087190172916601</v>
      </c>
    </row>
    <row r="286" spans="1:8">
      <c r="A286">
        <v>2022</v>
      </c>
      <c r="B286">
        <v>7.3200000000000001E-3</v>
      </c>
      <c r="C286">
        <v>8.3099999999999997E-3</v>
      </c>
      <c r="D286" s="27">
        <f t="shared" si="16"/>
        <v>3.0414599999999997E-3</v>
      </c>
      <c r="E286" s="27">
        <f t="shared" si="17"/>
        <v>0.77993076615812507</v>
      </c>
      <c r="F286" s="27">
        <f t="shared" si="18"/>
        <v>0.78149999999999986</v>
      </c>
      <c r="G286" s="27">
        <f t="shared" si="19"/>
        <v>7.7993076615812507E-2</v>
      </c>
      <c r="H286" s="27">
        <v>1.36349013089807</v>
      </c>
    </row>
    <row r="287" spans="1:8">
      <c r="A287">
        <v>2022</v>
      </c>
      <c r="B287">
        <v>7.3200000000000001E-3</v>
      </c>
      <c r="C287">
        <v>1.374E-2</v>
      </c>
      <c r="D287" s="27">
        <f t="shared" si="16"/>
        <v>5.0288400000000006E-3</v>
      </c>
      <c r="E287" s="27">
        <f t="shared" si="17"/>
        <v>1.0028798532227079</v>
      </c>
      <c r="F287" s="27">
        <f t="shared" si="18"/>
        <v>1.0530000000000002</v>
      </c>
      <c r="G287" s="27">
        <f t="shared" si="19"/>
        <v>0.10028798532227079</v>
      </c>
      <c r="H287" s="27">
        <v>1.41826124450448</v>
      </c>
    </row>
    <row r="288" spans="1:8">
      <c r="A288">
        <v>2022</v>
      </c>
      <c r="B288">
        <v>7.3200000000000001E-3</v>
      </c>
      <c r="C288">
        <v>8.1499999999999993E-3</v>
      </c>
      <c r="D288" s="27">
        <f t="shared" si="16"/>
        <v>2.9828999999999997E-3</v>
      </c>
      <c r="E288" s="27">
        <f t="shared" si="17"/>
        <v>0.77238591390573663</v>
      </c>
      <c r="F288" s="27">
        <f t="shared" si="18"/>
        <v>0.77349999999999997</v>
      </c>
      <c r="G288" s="27">
        <f t="shared" si="19"/>
        <v>7.7238591390573666E-2</v>
      </c>
      <c r="H288" s="27">
        <v>1.4730323581108899</v>
      </c>
    </row>
    <row r="289" spans="1:8">
      <c r="A289">
        <v>2022</v>
      </c>
      <c r="B289">
        <v>7.3200000000000001E-3</v>
      </c>
      <c r="C289">
        <v>1.422E-2</v>
      </c>
      <c r="D289" s="27">
        <f t="shared" si="16"/>
        <v>5.2045199999999998E-3</v>
      </c>
      <c r="E289" s="27">
        <f t="shared" si="17"/>
        <v>1.0202470289101557</v>
      </c>
      <c r="F289" s="27">
        <f t="shared" si="18"/>
        <v>1.077</v>
      </c>
      <c r="G289" s="27">
        <f t="shared" si="19"/>
        <v>0.10202470289101556</v>
      </c>
      <c r="H289" s="27">
        <v>1.5278034717172999</v>
      </c>
    </row>
    <row r="290" spans="1:8">
      <c r="A290">
        <v>2022</v>
      </c>
      <c r="B290">
        <v>3.9410000000000001E-2</v>
      </c>
      <c r="C290">
        <v>0.93737000000000004</v>
      </c>
      <c r="D290" s="27">
        <f t="shared" si="16"/>
        <v>1.8470875850000001</v>
      </c>
      <c r="E290" s="27">
        <f t="shared" si="17"/>
        <v>19.220237173354548</v>
      </c>
      <c r="F290" s="27">
        <f t="shared" si="18"/>
        <v>48.838999999999999</v>
      </c>
      <c r="G290" s="27">
        <f t="shared" si="19"/>
        <v>1.9220237173354549</v>
      </c>
      <c r="H290" s="27">
        <v>1.5825745853237101</v>
      </c>
    </row>
    <row r="291" spans="1:8">
      <c r="A291">
        <v>2022</v>
      </c>
      <c r="B291">
        <v>3.9410000000000001E-2</v>
      </c>
      <c r="C291">
        <v>0.10577</v>
      </c>
      <c r="D291" s="27">
        <f t="shared" si="16"/>
        <v>0.208419785</v>
      </c>
      <c r="E291" s="27">
        <f t="shared" si="17"/>
        <v>6.4563114082268367</v>
      </c>
      <c r="F291" s="27">
        <f t="shared" si="18"/>
        <v>7.2590000000000003</v>
      </c>
      <c r="G291" s="27">
        <f t="shared" si="19"/>
        <v>0.64563114082268369</v>
      </c>
      <c r="H291" s="27">
        <v>1.6373456989301201</v>
      </c>
    </row>
    <row r="292" spans="1:8">
      <c r="A292">
        <v>2022</v>
      </c>
      <c r="B292">
        <v>3.9410000000000001E-2</v>
      </c>
      <c r="C292">
        <v>8.3099999999999997E-3</v>
      </c>
      <c r="D292" s="27">
        <f t="shared" si="16"/>
        <v>1.6374855000000001E-2</v>
      </c>
      <c r="E292" s="27">
        <f t="shared" si="17"/>
        <v>1.8096880946726703</v>
      </c>
      <c r="F292" s="27">
        <f t="shared" si="18"/>
        <v>2.3860000000000001</v>
      </c>
      <c r="G292" s="27">
        <f t="shared" si="19"/>
        <v>0.18096880946726704</v>
      </c>
      <c r="H292" s="27">
        <v>1.69211681253653</v>
      </c>
    </row>
    <row r="293" spans="1:8">
      <c r="A293">
        <v>2022</v>
      </c>
      <c r="B293">
        <v>3.9410000000000001E-2</v>
      </c>
      <c r="C293">
        <v>1.374E-2</v>
      </c>
      <c r="D293" s="27">
        <f t="shared" si="16"/>
        <v>2.7074670000000002E-2</v>
      </c>
      <c r="E293" s="27">
        <f t="shared" si="17"/>
        <v>2.3270010743444018</v>
      </c>
      <c r="F293" s="27">
        <f t="shared" si="18"/>
        <v>2.6575000000000002</v>
      </c>
      <c r="G293" s="27">
        <f t="shared" si="19"/>
        <v>0.2327001074344402</v>
      </c>
      <c r="H293" s="27">
        <v>1.74688792614295</v>
      </c>
    </row>
    <row r="294" spans="1:8">
      <c r="A294">
        <v>2022</v>
      </c>
      <c r="B294">
        <v>3.9410000000000001E-2</v>
      </c>
      <c r="C294">
        <v>8.1499999999999993E-3</v>
      </c>
      <c r="D294" s="27">
        <f t="shared" si="16"/>
        <v>1.6059575E-2</v>
      </c>
      <c r="E294" s="27">
        <f t="shared" si="17"/>
        <v>1.7921816314202084</v>
      </c>
      <c r="F294" s="27">
        <f t="shared" si="18"/>
        <v>2.3780000000000001</v>
      </c>
      <c r="G294" s="27">
        <f t="shared" si="19"/>
        <v>0.17921816314202085</v>
      </c>
      <c r="H294" s="27">
        <v>1.8016590397493599</v>
      </c>
    </row>
    <row r="295" spans="1:8">
      <c r="A295">
        <v>2022</v>
      </c>
      <c r="B295">
        <v>3.9410000000000001E-2</v>
      </c>
      <c r="C295">
        <v>1.422E-2</v>
      </c>
      <c r="D295" s="27">
        <f t="shared" si="16"/>
        <v>2.8020509999999998E-2</v>
      </c>
      <c r="E295" s="27">
        <f t="shared" si="17"/>
        <v>2.3672984602706939</v>
      </c>
      <c r="F295" s="27">
        <f t="shared" si="18"/>
        <v>2.6814999999999998</v>
      </c>
      <c r="G295" s="27">
        <f t="shared" si="19"/>
        <v>0.23672984602706942</v>
      </c>
      <c r="H295" s="27">
        <v>1.8564301533557701</v>
      </c>
    </row>
    <row r="296" spans="1:8">
      <c r="A296">
        <v>2022</v>
      </c>
      <c r="B296">
        <v>0.20333999999999999</v>
      </c>
      <c r="C296">
        <v>0.93737000000000004</v>
      </c>
      <c r="D296" s="27">
        <f t="shared" si="16"/>
        <v>9.5302407900000006</v>
      </c>
      <c r="E296" s="27">
        <f t="shared" si="17"/>
        <v>43.658311442381738</v>
      </c>
      <c r="F296" s="27">
        <f t="shared" si="18"/>
        <v>57.035500000000006</v>
      </c>
      <c r="G296" s="27">
        <f t="shared" si="19"/>
        <v>4.3658311442381734</v>
      </c>
      <c r="H296" s="27">
        <v>1.9112012669621801</v>
      </c>
    </row>
    <row r="297" spans="1:8">
      <c r="A297">
        <v>2022</v>
      </c>
      <c r="B297">
        <v>0.20333999999999999</v>
      </c>
      <c r="C297">
        <v>0.10577</v>
      </c>
      <c r="D297" s="27">
        <f t="shared" si="16"/>
        <v>1.0753635899999998</v>
      </c>
      <c r="E297" s="27">
        <f t="shared" si="17"/>
        <v>14.665357752199567</v>
      </c>
      <c r="F297" s="27">
        <f t="shared" si="18"/>
        <v>15.455500000000001</v>
      </c>
      <c r="G297" s="27">
        <f t="shared" si="19"/>
        <v>1.4665357752199568</v>
      </c>
      <c r="H297" s="27">
        <v>1.96597238056859</v>
      </c>
    </row>
    <row r="298" spans="1:8">
      <c r="A298">
        <v>2022</v>
      </c>
      <c r="B298">
        <v>0.20333999999999999</v>
      </c>
      <c r="C298">
        <v>8.3099999999999997E-3</v>
      </c>
      <c r="D298" s="27">
        <f t="shared" si="16"/>
        <v>8.4487770000000004E-2</v>
      </c>
      <c r="E298" s="27">
        <f t="shared" si="17"/>
        <v>4.1106634501014554</v>
      </c>
      <c r="F298" s="27">
        <f t="shared" si="18"/>
        <v>10.5825</v>
      </c>
      <c r="G298" s="27">
        <f t="shared" si="19"/>
        <v>0.41106634501014555</v>
      </c>
      <c r="H298" s="27">
        <v>2.020743494175</v>
      </c>
    </row>
    <row r="299" spans="1:8">
      <c r="A299">
        <v>2022</v>
      </c>
      <c r="B299">
        <v>0.20333999999999999</v>
      </c>
      <c r="C299">
        <v>1.374E-2</v>
      </c>
      <c r="D299" s="27">
        <f t="shared" si="16"/>
        <v>0.13969457999999998</v>
      </c>
      <c r="E299" s="27">
        <f t="shared" si="17"/>
        <v>5.285727575272869</v>
      </c>
      <c r="F299" s="27">
        <f t="shared" si="18"/>
        <v>10.853999999999999</v>
      </c>
      <c r="G299" s="27">
        <f t="shared" si="19"/>
        <v>0.52857275752728683</v>
      </c>
      <c r="H299" s="27">
        <v>2.0755146077814102</v>
      </c>
    </row>
    <row r="300" spans="1:8">
      <c r="A300">
        <v>2022</v>
      </c>
      <c r="B300">
        <v>0.20333999999999999</v>
      </c>
      <c r="C300">
        <v>8.1499999999999993E-3</v>
      </c>
      <c r="D300" s="27">
        <f t="shared" si="16"/>
        <v>8.2861049999999992E-2</v>
      </c>
      <c r="E300" s="27">
        <f t="shared" si="17"/>
        <v>4.0708979353454682</v>
      </c>
      <c r="F300" s="27">
        <f t="shared" si="18"/>
        <v>10.574499999999999</v>
      </c>
      <c r="G300" s="27">
        <f t="shared" si="19"/>
        <v>0.40708979353454683</v>
      </c>
      <c r="H300" s="27">
        <v>2.1302857213878199</v>
      </c>
    </row>
    <row r="301" spans="1:8">
      <c r="A301">
        <v>2022</v>
      </c>
      <c r="B301">
        <v>0.20333999999999999</v>
      </c>
      <c r="C301">
        <v>1.422E-2</v>
      </c>
      <c r="D301" s="27">
        <f t="shared" si="16"/>
        <v>0.14457474000000001</v>
      </c>
      <c r="E301" s="27">
        <f t="shared" si="17"/>
        <v>5.3772621286301456</v>
      </c>
      <c r="F301" s="27">
        <f t="shared" si="18"/>
        <v>10.878</v>
      </c>
      <c r="G301" s="27">
        <f t="shared" si="19"/>
        <v>0.53772621286301459</v>
      </c>
      <c r="H301" s="27">
        <v>2.1850568349942301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X38"/>
  <sheetViews>
    <sheetView topLeftCell="B1" workbookViewId="0">
      <selection activeCell="M15" sqref="M15"/>
    </sheetView>
  </sheetViews>
  <sheetFormatPr defaultRowHeight="16.5"/>
  <cols>
    <col min="3" max="3" width="9.375" style="30" bestFit="1" customWidth="1"/>
    <col min="10" max="10" width="1.375" style="30" customWidth="1"/>
    <col min="11" max="12" width="10.75" style="30" customWidth="1"/>
    <col min="17" max="17" width="1.875" style="30" customWidth="1"/>
  </cols>
  <sheetData>
    <row r="3" spans="2:24">
      <c r="C3">
        <v>2018</v>
      </c>
      <c r="N3">
        <v>2022</v>
      </c>
    </row>
    <row r="4" spans="2:24">
      <c r="C4" s="23"/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22"/>
      <c r="K4" s="13" t="s">
        <v>26</v>
      </c>
      <c r="L4" s="12" t="str">
        <f>ROUND(MAX(D5:I14), 2)&amp; "점"</f>
        <v>66.39점</v>
      </c>
      <c r="N4" s="7" t="s">
        <v>27</v>
      </c>
      <c r="O4" s="19">
        <v>6698</v>
      </c>
      <c r="P4" s="21">
        <v>1</v>
      </c>
      <c r="R4" s="20" t="s">
        <v>27</v>
      </c>
      <c r="S4" s="19">
        <v>6259</v>
      </c>
      <c r="T4" s="21">
        <v>1</v>
      </c>
      <c r="V4" s="20" t="s">
        <v>27</v>
      </c>
      <c r="W4" s="19">
        <v>6698</v>
      </c>
      <c r="X4" s="21">
        <v>1</v>
      </c>
    </row>
    <row r="5" spans="2:24">
      <c r="C5" s="7" t="s">
        <v>6</v>
      </c>
      <c r="D5" s="6">
        <f t="shared" ref="D5:D14" si="0">((P5+$T$5)/2)*100</f>
        <v>48.13</v>
      </c>
      <c r="E5" s="6">
        <f t="shared" ref="E5:E14" si="1">((P5+$T$6)/2)*100</f>
        <v>6.5500000000000007</v>
      </c>
      <c r="F5" s="6">
        <f t="shared" ref="F5:F14" si="2">(($P5+$T$7)/2)*100</f>
        <v>1.677</v>
      </c>
      <c r="G5" s="6">
        <f t="shared" ref="G5:G14" si="3">(($P5+$T$8)/2)*100</f>
        <v>1.9484999999999999</v>
      </c>
      <c r="H5" s="6">
        <f t="shared" ref="H5:H14" si="4">(($P5+$T$9)/2)*100</f>
        <v>1.669</v>
      </c>
      <c r="I5" s="6">
        <f t="shared" ref="I5:I14" si="5">(($P5+$T$10)/2)*100</f>
        <v>1.9724999999999999</v>
      </c>
      <c r="J5" s="18"/>
      <c r="K5" s="13" t="s">
        <v>28</v>
      </c>
      <c r="L5" s="12" t="str">
        <f>ROUND(MIN(D5:I14), 2)&amp; "점"</f>
        <v>0.69점</v>
      </c>
      <c r="N5" s="7" t="s">
        <v>6</v>
      </c>
      <c r="O5" s="28">
        <v>169</v>
      </c>
      <c r="P5" s="16">
        <f t="shared" ref="P5:P14" si="6">ROUND((O5/O$4),5)</f>
        <v>2.5229999999999999E-2</v>
      </c>
      <c r="R5" s="20" t="s">
        <v>7</v>
      </c>
      <c r="S5" s="28">
        <v>5867</v>
      </c>
      <c r="T5" s="16">
        <f t="shared" ref="T5:T10" si="7">ROUND((S5/S$4),5)</f>
        <v>0.93737000000000004</v>
      </c>
      <c r="V5" s="20" t="s">
        <v>29</v>
      </c>
      <c r="W5" s="19">
        <v>4883</v>
      </c>
      <c r="X5" s="16">
        <f>ROUND((W5/W$4),3)</f>
        <v>0.72899999999999998</v>
      </c>
    </row>
    <row r="6" spans="2:24">
      <c r="C6" s="7" t="s">
        <v>13</v>
      </c>
      <c r="D6" s="6">
        <f t="shared" si="0"/>
        <v>66.389499999999998</v>
      </c>
      <c r="E6" s="6">
        <f t="shared" si="1"/>
        <v>24.8095</v>
      </c>
      <c r="F6" s="6">
        <f t="shared" si="2"/>
        <v>19.936499999999999</v>
      </c>
      <c r="G6" s="6">
        <f t="shared" si="3"/>
        <v>20.207999999999998</v>
      </c>
      <c r="H6" s="6">
        <f t="shared" si="4"/>
        <v>19.9285</v>
      </c>
      <c r="I6" s="6">
        <f t="shared" si="5"/>
        <v>20.231999999999999</v>
      </c>
      <c r="J6" s="18"/>
      <c r="K6" s="9"/>
      <c r="L6" s="8"/>
      <c r="N6" s="7" t="s">
        <v>13</v>
      </c>
      <c r="O6" s="28">
        <v>2615</v>
      </c>
      <c r="P6" s="16">
        <f t="shared" si="6"/>
        <v>0.39041999999999999</v>
      </c>
      <c r="R6" s="20" t="s">
        <v>8</v>
      </c>
      <c r="S6" s="28">
        <v>662</v>
      </c>
      <c r="T6" s="16">
        <f t="shared" si="7"/>
        <v>0.10577</v>
      </c>
      <c r="V6" s="20" t="s">
        <v>30</v>
      </c>
      <c r="W6" s="19">
        <v>1815</v>
      </c>
      <c r="X6" s="16">
        <f>ROUND((W6/W$4),3)</f>
        <v>0.27100000000000002</v>
      </c>
    </row>
    <row r="7" spans="2:24">
      <c r="C7" s="7" t="s">
        <v>14</v>
      </c>
      <c r="D7" s="6">
        <f t="shared" si="0"/>
        <v>62.484999999999999</v>
      </c>
      <c r="E7" s="6">
        <f t="shared" si="1"/>
        <v>20.905000000000001</v>
      </c>
      <c r="F7" s="6">
        <f t="shared" si="2"/>
        <v>16.032</v>
      </c>
      <c r="G7" s="6">
        <f t="shared" si="3"/>
        <v>16.3035</v>
      </c>
      <c r="H7" s="6">
        <f t="shared" si="4"/>
        <v>16.024000000000001</v>
      </c>
      <c r="I7" s="6">
        <f t="shared" si="5"/>
        <v>16.327500000000001</v>
      </c>
      <c r="J7" s="9"/>
      <c r="K7" s="7" t="s">
        <v>31</v>
      </c>
      <c r="L7" s="7" t="s">
        <v>32</v>
      </c>
      <c r="N7" s="7" t="s">
        <v>14</v>
      </c>
      <c r="O7" s="28">
        <v>2092</v>
      </c>
      <c r="P7" s="16">
        <f t="shared" si="6"/>
        <v>0.31233</v>
      </c>
      <c r="R7" s="20" t="s">
        <v>9</v>
      </c>
      <c r="S7" s="28">
        <v>52</v>
      </c>
      <c r="T7" s="16">
        <f t="shared" si="7"/>
        <v>8.3099999999999997E-3</v>
      </c>
    </row>
    <row r="8" spans="2:24">
      <c r="C8" s="7" t="s">
        <v>15</v>
      </c>
      <c r="D8" s="6">
        <f t="shared" si="0"/>
        <v>47.660000000000004</v>
      </c>
      <c r="E8" s="6">
        <f t="shared" si="1"/>
        <v>6.08</v>
      </c>
      <c r="F8" s="6">
        <f t="shared" si="2"/>
        <v>1.2070000000000001</v>
      </c>
      <c r="G8" s="6">
        <f t="shared" si="3"/>
        <v>1.4784999999999999</v>
      </c>
      <c r="H8" s="6">
        <f t="shared" si="4"/>
        <v>1.1990000000000001</v>
      </c>
      <c r="I8" s="6">
        <f t="shared" si="5"/>
        <v>1.5024999999999999</v>
      </c>
      <c r="J8" s="9"/>
      <c r="K8" s="7" t="s">
        <v>33</v>
      </c>
      <c r="L8" s="7" t="s">
        <v>34</v>
      </c>
      <c r="N8" s="7" t="s">
        <v>15</v>
      </c>
      <c r="O8" s="28">
        <v>106</v>
      </c>
      <c r="P8" s="16">
        <f t="shared" si="6"/>
        <v>1.583E-2</v>
      </c>
      <c r="R8" s="20" t="s">
        <v>10</v>
      </c>
      <c r="S8" s="28">
        <v>86</v>
      </c>
      <c r="T8" s="16">
        <f t="shared" si="7"/>
        <v>1.374E-2</v>
      </c>
    </row>
    <row r="9" spans="2:24">
      <c r="C9" s="7" t="s">
        <v>16</v>
      </c>
      <c r="D9" s="6">
        <f t="shared" si="0"/>
        <v>51.496499999999997</v>
      </c>
      <c r="E9" s="6">
        <f t="shared" si="1"/>
        <v>9.916500000000001</v>
      </c>
      <c r="F9" s="6">
        <f t="shared" si="2"/>
        <v>5.0434999999999999</v>
      </c>
      <c r="G9" s="6">
        <f t="shared" si="3"/>
        <v>5.3150000000000004</v>
      </c>
      <c r="H9" s="6">
        <f t="shared" si="4"/>
        <v>5.0355000000000008</v>
      </c>
      <c r="I9" s="6">
        <f t="shared" si="5"/>
        <v>5.3390000000000004</v>
      </c>
      <c r="J9" s="9"/>
      <c r="K9" s="7" t="s">
        <v>35</v>
      </c>
      <c r="L9" s="7" t="s">
        <v>36</v>
      </c>
      <c r="N9" s="7" t="s">
        <v>16</v>
      </c>
      <c r="O9" s="28">
        <v>620</v>
      </c>
      <c r="P9" s="16">
        <f t="shared" si="6"/>
        <v>9.2560000000000003E-2</v>
      </c>
      <c r="R9" s="20" t="s">
        <v>11</v>
      </c>
      <c r="S9" s="28">
        <v>51</v>
      </c>
      <c r="T9" s="16">
        <f t="shared" si="7"/>
        <v>8.1499999999999993E-3</v>
      </c>
    </row>
    <row r="10" spans="2:24">
      <c r="C10" s="7" t="s">
        <v>17</v>
      </c>
      <c r="D10" s="6">
        <f t="shared" si="0"/>
        <v>47.152000000000001</v>
      </c>
      <c r="E10" s="6">
        <f t="shared" si="1"/>
        <v>5.5720000000000001</v>
      </c>
      <c r="F10" s="6">
        <f t="shared" si="2"/>
        <v>0.69899999999999995</v>
      </c>
      <c r="G10" s="6">
        <f t="shared" si="3"/>
        <v>0.97050000000000003</v>
      </c>
      <c r="H10" s="6">
        <f t="shared" si="4"/>
        <v>0.69099999999999995</v>
      </c>
      <c r="I10" s="6">
        <f t="shared" si="5"/>
        <v>0.99449999999999994</v>
      </c>
      <c r="J10" s="9"/>
      <c r="K10" s="7" t="s">
        <v>37</v>
      </c>
      <c r="L10" s="7" t="s">
        <v>38</v>
      </c>
      <c r="N10" s="7" t="s">
        <v>17</v>
      </c>
      <c r="O10" s="28">
        <v>38</v>
      </c>
      <c r="P10" s="16">
        <f t="shared" si="6"/>
        <v>5.6699999999999997E-3</v>
      </c>
      <c r="R10" s="20" t="s">
        <v>12</v>
      </c>
      <c r="S10" s="28">
        <v>89</v>
      </c>
      <c r="T10" s="16">
        <f t="shared" si="7"/>
        <v>1.422E-2</v>
      </c>
    </row>
    <row r="11" spans="2:24">
      <c r="C11" s="7" t="s">
        <v>18</v>
      </c>
      <c r="D11" s="6">
        <f t="shared" si="0"/>
        <v>48.204500000000003</v>
      </c>
      <c r="E11" s="6">
        <f t="shared" si="1"/>
        <v>6.6244999999999994</v>
      </c>
      <c r="F11" s="6">
        <f t="shared" si="2"/>
        <v>1.7514999999999998</v>
      </c>
      <c r="G11" s="6">
        <f t="shared" si="3"/>
        <v>2.0230000000000001</v>
      </c>
      <c r="H11" s="6">
        <f t="shared" si="4"/>
        <v>1.7434999999999998</v>
      </c>
      <c r="I11" s="6">
        <f t="shared" si="5"/>
        <v>2.0470000000000002</v>
      </c>
      <c r="J11" s="9"/>
      <c r="K11" s="11"/>
      <c r="L11" s="10"/>
      <c r="N11" s="7" t="s">
        <v>18</v>
      </c>
      <c r="O11" s="28">
        <v>179</v>
      </c>
      <c r="P11" s="16">
        <f t="shared" si="6"/>
        <v>2.6720000000000001E-2</v>
      </c>
    </row>
    <row r="12" spans="2:24">
      <c r="C12" s="7" t="s">
        <v>19</v>
      </c>
      <c r="D12" s="6">
        <f t="shared" si="0"/>
        <v>47.234500000000004</v>
      </c>
      <c r="E12" s="6">
        <f t="shared" si="1"/>
        <v>5.6544999999999996</v>
      </c>
      <c r="F12" s="6">
        <f t="shared" si="2"/>
        <v>0.78149999999999986</v>
      </c>
      <c r="G12" s="6">
        <f t="shared" si="3"/>
        <v>1.0530000000000002</v>
      </c>
      <c r="H12" s="6">
        <f t="shared" si="4"/>
        <v>0.77349999999999997</v>
      </c>
      <c r="I12" s="6">
        <f t="shared" si="5"/>
        <v>1.077</v>
      </c>
      <c r="J12" s="18"/>
      <c r="K12" s="9"/>
      <c r="L12" s="8"/>
      <c r="N12" s="7" t="s">
        <v>19</v>
      </c>
      <c r="O12" s="28">
        <v>49</v>
      </c>
      <c r="P12" s="16">
        <f t="shared" si="6"/>
        <v>7.3200000000000001E-3</v>
      </c>
    </row>
    <row r="13" spans="2:24">
      <c r="C13" s="7" t="s">
        <v>20</v>
      </c>
      <c r="D13" s="6">
        <f t="shared" si="0"/>
        <v>48.838999999999999</v>
      </c>
      <c r="E13" s="6">
        <f t="shared" si="1"/>
        <v>7.2590000000000003</v>
      </c>
      <c r="F13" s="6">
        <f t="shared" si="2"/>
        <v>2.3860000000000001</v>
      </c>
      <c r="G13" s="6">
        <f t="shared" si="3"/>
        <v>2.6575000000000002</v>
      </c>
      <c r="H13" s="6">
        <f t="shared" si="4"/>
        <v>2.3780000000000001</v>
      </c>
      <c r="I13" s="6">
        <f t="shared" si="5"/>
        <v>2.6814999999999998</v>
      </c>
      <c r="J13" s="18"/>
      <c r="K13" s="9"/>
      <c r="L13" s="8"/>
      <c r="N13" s="7" t="s">
        <v>20</v>
      </c>
      <c r="O13" s="28">
        <v>264</v>
      </c>
      <c r="P13" s="16">
        <f t="shared" si="6"/>
        <v>3.9410000000000001E-2</v>
      </c>
    </row>
    <row r="14" spans="2:24">
      <c r="C14" s="7" t="s">
        <v>21</v>
      </c>
      <c r="D14" s="6">
        <f t="shared" si="0"/>
        <v>57.035500000000006</v>
      </c>
      <c r="E14" s="6">
        <f t="shared" si="1"/>
        <v>15.455500000000001</v>
      </c>
      <c r="F14" s="6">
        <f t="shared" si="2"/>
        <v>10.5825</v>
      </c>
      <c r="G14" s="6">
        <f t="shared" si="3"/>
        <v>10.853999999999999</v>
      </c>
      <c r="H14" s="6">
        <f t="shared" si="4"/>
        <v>10.574499999999999</v>
      </c>
      <c r="I14" s="6">
        <f t="shared" si="5"/>
        <v>10.878</v>
      </c>
      <c r="J14" s="17"/>
      <c r="K14" s="5"/>
      <c r="L14" s="4"/>
      <c r="N14" s="7" t="s">
        <v>21</v>
      </c>
      <c r="O14" s="28">
        <v>1362</v>
      </c>
      <c r="P14" s="16">
        <f t="shared" si="6"/>
        <v>0.20333999999999999</v>
      </c>
    </row>
    <row r="16" spans="2:24">
      <c r="B16" s="32" t="s">
        <v>39</v>
      </c>
      <c r="C16" s="14"/>
      <c r="D16" s="7" t="s">
        <v>7</v>
      </c>
      <c r="E16" s="7" t="s">
        <v>8</v>
      </c>
      <c r="F16" s="7" t="s">
        <v>9</v>
      </c>
      <c r="G16" s="7" t="s">
        <v>10</v>
      </c>
      <c r="H16" s="7" t="s">
        <v>11</v>
      </c>
      <c r="I16" s="7" t="s">
        <v>12</v>
      </c>
      <c r="K16" s="13" t="s">
        <v>26</v>
      </c>
      <c r="L16" s="12" t="str">
        <f>ROUND(MAX(D17:I26), 2)&amp; "점"</f>
        <v>68.56점</v>
      </c>
    </row>
    <row r="17" spans="2:12">
      <c r="B17" s="33"/>
      <c r="C17" s="7" t="s">
        <v>6</v>
      </c>
      <c r="D17" s="6">
        <f t="shared" ref="D17:D26" si="8">((P5+T$5+$X$5)/3)*100</f>
        <v>56.386666666666663</v>
      </c>
      <c r="E17" s="6">
        <f t="shared" ref="E17:E26" si="9">((P5+T$6+$X$5)/3)*100</f>
        <v>28.666666666666668</v>
      </c>
      <c r="F17" s="6">
        <f t="shared" ref="F17:F26" si="10">((P5+T$7+$X$5)/3)*100</f>
        <v>25.418000000000003</v>
      </c>
      <c r="G17" s="6">
        <f t="shared" ref="G17:G26" si="11">((P5+T$8+$X$5)/3)*100</f>
        <v>25.599</v>
      </c>
      <c r="H17" s="6">
        <f t="shared" ref="H17:H26" si="12">((P5+T$9+$X$5)/3)*100</f>
        <v>25.412666666666667</v>
      </c>
      <c r="I17" s="6">
        <f t="shared" ref="I17:I26" si="13">((P5+T$10+$X$5)/3)*100</f>
        <v>25.614999999999998</v>
      </c>
      <c r="K17" s="13" t="s">
        <v>28</v>
      </c>
      <c r="L17" s="12" t="str">
        <f>ROUND(MIN(D17:I26), 2)&amp; "점"</f>
        <v>24.76점</v>
      </c>
    </row>
    <row r="18" spans="2:12">
      <c r="B18" s="33"/>
      <c r="C18" s="7" t="s">
        <v>13</v>
      </c>
      <c r="D18" s="6">
        <f t="shared" si="8"/>
        <v>68.559666666666658</v>
      </c>
      <c r="E18" s="6">
        <f t="shared" si="9"/>
        <v>40.839666666666666</v>
      </c>
      <c r="F18" s="6">
        <f t="shared" si="10"/>
        <v>37.590999999999994</v>
      </c>
      <c r="G18" s="6">
        <f t="shared" si="11"/>
        <v>37.771999999999998</v>
      </c>
      <c r="H18" s="6">
        <f t="shared" si="12"/>
        <v>37.585666666666668</v>
      </c>
      <c r="I18" s="6">
        <f t="shared" si="13"/>
        <v>37.787999999999997</v>
      </c>
      <c r="K18" s="9"/>
      <c r="L18" s="8"/>
    </row>
    <row r="19" spans="2:12">
      <c r="B19" s="33"/>
      <c r="C19" s="7" t="s">
        <v>14</v>
      </c>
      <c r="D19" s="6">
        <f t="shared" si="8"/>
        <v>65.956666666666663</v>
      </c>
      <c r="E19" s="6">
        <f t="shared" si="9"/>
        <v>38.236666666666672</v>
      </c>
      <c r="F19" s="6">
        <f t="shared" si="10"/>
        <v>34.988</v>
      </c>
      <c r="G19" s="6">
        <f t="shared" si="11"/>
        <v>35.168999999999997</v>
      </c>
      <c r="H19" s="6">
        <f t="shared" si="12"/>
        <v>34.982666666666667</v>
      </c>
      <c r="I19" s="6">
        <f t="shared" si="13"/>
        <v>35.185000000000002</v>
      </c>
      <c r="K19" s="7" t="s">
        <v>31</v>
      </c>
      <c r="L19" s="7" t="s">
        <v>32</v>
      </c>
    </row>
    <row r="20" spans="2:12">
      <c r="B20" s="33"/>
      <c r="C20" s="7" t="s">
        <v>15</v>
      </c>
      <c r="D20" s="6">
        <f t="shared" si="8"/>
        <v>56.073333333333331</v>
      </c>
      <c r="E20" s="6">
        <f t="shared" si="9"/>
        <v>28.353333333333335</v>
      </c>
      <c r="F20" s="6">
        <f t="shared" si="10"/>
        <v>25.10466666666667</v>
      </c>
      <c r="G20" s="6">
        <f t="shared" si="11"/>
        <v>25.285666666666668</v>
      </c>
      <c r="H20" s="6">
        <f t="shared" si="12"/>
        <v>25.099333333333334</v>
      </c>
      <c r="I20" s="6">
        <f t="shared" si="13"/>
        <v>25.301666666666666</v>
      </c>
      <c r="K20" s="7" t="s">
        <v>33</v>
      </c>
      <c r="L20" s="7" t="s">
        <v>34</v>
      </c>
    </row>
    <row r="21" spans="2:12">
      <c r="B21" s="33"/>
      <c r="C21" s="7" t="s">
        <v>16</v>
      </c>
      <c r="D21" s="6">
        <f t="shared" si="8"/>
        <v>58.631</v>
      </c>
      <c r="E21" s="6">
        <f t="shared" si="9"/>
        <v>30.911000000000001</v>
      </c>
      <c r="F21" s="6">
        <f t="shared" si="10"/>
        <v>27.662333333333333</v>
      </c>
      <c r="G21" s="6">
        <f t="shared" si="11"/>
        <v>27.84333333333333</v>
      </c>
      <c r="H21" s="6">
        <f t="shared" si="12"/>
        <v>27.656999999999996</v>
      </c>
      <c r="I21" s="6">
        <f t="shared" si="13"/>
        <v>27.859333333333332</v>
      </c>
      <c r="K21" s="7" t="s">
        <v>35</v>
      </c>
      <c r="L21" s="7" t="s">
        <v>36</v>
      </c>
    </row>
    <row r="22" spans="2:12">
      <c r="B22" s="33"/>
      <c r="C22" s="7" t="s">
        <v>17</v>
      </c>
      <c r="D22" s="6">
        <f t="shared" si="8"/>
        <v>55.734666666666669</v>
      </c>
      <c r="E22" s="6">
        <f t="shared" si="9"/>
        <v>28.014666666666667</v>
      </c>
      <c r="F22" s="6">
        <f t="shared" si="10"/>
        <v>24.765999999999998</v>
      </c>
      <c r="G22" s="6">
        <f t="shared" si="11"/>
        <v>24.946999999999999</v>
      </c>
      <c r="H22" s="6">
        <f t="shared" si="12"/>
        <v>24.760666666666665</v>
      </c>
      <c r="I22" s="6">
        <f t="shared" si="13"/>
        <v>24.962999999999997</v>
      </c>
      <c r="K22" s="7" t="s">
        <v>37</v>
      </c>
      <c r="L22" s="7" t="s">
        <v>38</v>
      </c>
    </row>
    <row r="23" spans="2:12">
      <c r="B23" s="33"/>
      <c r="C23" s="7" t="s">
        <v>18</v>
      </c>
      <c r="D23" s="6">
        <f t="shared" si="8"/>
        <v>56.43633333333333</v>
      </c>
      <c r="E23" s="6">
        <f t="shared" si="9"/>
        <v>28.716333333333331</v>
      </c>
      <c r="F23" s="6">
        <f t="shared" si="10"/>
        <v>25.467666666666666</v>
      </c>
      <c r="G23" s="6">
        <f t="shared" si="11"/>
        <v>25.648666666666671</v>
      </c>
      <c r="H23" s="6">
        <f t="shared" si="12"/>
        <v>25.46233333333333</v>
      </c>
      <c r="I23" s="6">
        <f t="shared" si="13"/>
        <v>25.664666666666662</v>
      </c>
      <c r="K23" s="11"/>
      <c r="L23" s="10"/>
    </row>
    <row r="24" spans="2:12">
      <c r="B24" s="33"/>
      <c r="C24" s="7" t="s">
        <v>19</v>
      </c>
      <c r="D24" s="6">
        <f t="shared" si="8"/>
        <v>55.789666666666669</v>
      </c>
      <c r="E24" s="6">
        <f t="shared" si="9"/>
        <v>28.069666666666667</v>
      </c>
      <c r="F24" s="6">
        <f t="shared" si="10"/>
        <v>24.821000000000002</v>
      </c>
      <c r="G24" s="6">
        <f t="shared" si="11"/>
        <v>25.001999999999995</v>
      </c>
      <c r="H24" s="6">
        <f t="shared" si="12"/>
        <v>24.815666666666665</v>
      </c>
      <c r="I24" s="6">
        <f t="shared" si="13"/>
        <v>25.018000000000001</v>
      </c>
      <c r="K24" s="9"/>
      <c r="L24" s="8"/>
    </row>
    <row r="25" spans="2:12">
      <c r="B25" s="33"/>
      <c r="C25" s="7" t="s">
        <v>20</v>
      </c>
      <c r="D25" s="6">
        <f t="shared" si="8"/>
        <v>56.859333333333325</v>
      </c>
      <c r="E25" s="6">
        <f t="shared" si="9"/>
        <v>29.139333333333333</v>
      </c>
      <c r="F25" s="6">
        <f t="shared" si="10"/>
        <v>25.890666666666668</v>
      </c>
      <c r="G25" s="6">
        <f t="shared" si="11"/>
        <v>26.071666666666665</v>
      </c>
      <c r="H25" s="6">
        <f t="shared" si="12"/>
        <v>25.885333333333332</v>
      </c>
      <c r="I25" s="6">
        <f t="shared" si="13"/>
        <v>26.087666666666664</v>
      </c>
      <c r="K25" s="9"/>
      <c r="L25" s="8"/>
    </row>
    <row r="26" spans="2:12">
      <c r="B26" s="34"/>
      <c r="C26" s="7" t="s">
        <v>21</v>
      </c>
      <c r="D26" s="6">
        <f t="shared" si="8"/>
        <v>62.323666666666668</v>
      </c>
      <c r="E26" s="6">
        <f t="shared" si="9"/>
        <v>34.603666666666669</v>
      </c>
      <c r="F26" s="6">
        <f t="shared" si="10"/>
        <v>31.355</v>
      </c>
      <c r="G26" s="6">
        <f t="shared" si="11"/>
        <v>31.536000000000001</v>
      </c>
      <c r="H26" s="6">
        <f t="shared" si="12"/>
        <v>31.349666666666664</v>
      </c>
      <c r="I26" s="6">
        <f t="shared" si="13"/>
        <v>31.551999999999996</v>
      </c>
      <c r="K26" s="5"/>
      <c r="L26" s="4"/>
    </row>
    <row r="27" spans="2:12">
      <c r="B27" s="15"/>
    </row>
    <row r="28" spans="2:12">
      <c r="B28" s="32" t="s">
        <v>40</v>
      </c>
      <c r="C28" s="14"/>
      <c r="D28" s="7" t="s">
        <v>7</v>
      </c>
      <c r="E28" s="7" t="s">
        <v>8</v>
      </c>
      <c r="F28" s="7" t="s">
        <v>9</v>
      </c>
      <c r="G28" s="7" t="s">
        <v>10</v>
      </c>
      <c r="H28" s="7" t="s">
        <v>11</v>
      </c>
      <c r="I28" s="7" t="s">
        <v>12</v>
      </c>
      <c r="K28" s="13" t="s">
        <v>26</v>
      </c>
      <c r="L28" s="12" t="str">
        <f>ROUND(MAX(D29:I38), 2)&amp; "점"</f>
        <v>53.29점</v>
      </c>
    </row>
    <row r="29" spans="2:12">
      <c r="B29" s="33"/>
      <c r="C29" s="7" t="s">
        <v>6</v>
      </c>
      <c r="D29" s="6">
        <f t="shared" ref="D29:D38" si="14">((P5+T$5+$X$6)/3)*100</f>
        <v>41.120000000000005</v>
      </c>
      <c r="E29" s="6">
        <f t="shared" ref="E29:E38" si="15">((P5+T$6+$X$6)/3)*100</f>
        <v>13.4</v>
      </c>
      <c r="F29" s="6">
        <f t="shared" ref="F29:F38" si="16">((P5+T$7+$X$6)/3)*100</f>
        <v>10.151333333333334</v>
      </c>
      <c r="G29" s="6">
        <f t="shared" ref="G29:G38" si="17">((P5+T$8+$X$6)/3)*100</f>
        <v>10.332333333333334</v>
      </c>
      <c r="H29" s="6">
        <f t="shared" ref="H29:H38" si="18">((P5+T$9+$X$6)/3)*100</f>
        <v>10.146000000000001</v>
      </c>
      <c r="I29" s="6">
        <f t="shared" ref="I29:I38" si="19">((P5+T$10+$X$6)/3)*100</f>
        <v>10.348333333333333</v>
      </c>
      <c r="K29" s="13" t="s">
        <v>28</v>
      </c>
      <c r="L29" s="12" t="str">
        <f>ROUND(MIN(D29:I38), 2)&amp; "점"</f>
        <v>9.49점</v>
      </c>
    </row>
    <row r="30" spans="2:12">
      <c r="B30" s="33"/>
      <c r="C30" s="7" t="s">
        <v>13</v>
      </c>
      <c r="D30" s="6">
        <f t="shared" si="14"/>
        <v>53.292999999999999</v>
      </c>
      <c r="E30" s="6">
        <f t="shared" si="15"/>
        <v>25.573</v>
      </c>
      <c r="F30" s="6">
        <f t="shared" si="16"/>
        <v>22.324333333333332</v>
      </c>
      <c r="G30" s="6">
        <f t="shared" si="17"/>
        <v>22.505333333333333</v>
      </c>
      <c r="H30" s="6">
        <f t="shared" si="18"/>
        <v>22.318999999999999</v>
      </c>
      <c r="I30" s="6">
        <f t="shared" si="19"/>
        <v>22.521333333333335</v>
      </c>
      <c r="K30" s="9"/>
      <c r="L30" s="8"/>
    </row>
    <row r="31" spans="2:12">
      <c r="B31" s="33"/>
      <c r="C31" s="7" t="s">
        <v>14</v>
      </c>
      <c r="D31" s="6">
        <f t="shared" si="14"/>
        <v>50.690000000000005</v>
      </c>
      <c r="E31" s="6">
        <f t="shared" si="15"/>
        <v>22.970000000000002</v>
      </c>
      <c r="F31" s="6">
        <f t="shared" si="16"/>
        <v>19.721333333333334</v>
      </c>
      <c r="G31" s="6">
        <f t="shared" si="17"/>
        <v>19.902333333333331</v>
      </c>
      <c r="H31" s="6">
        <f t="shared" si="18"/>
        <v>19.716000000000001</v>
      </c>
      <c r="I31" s="6">
        <f t="shared" si="19"/>
        <v>19.918333333333337</v>
      </c>
      <c r="K31" s="7" t="s">
        <v>31</v>
      </c>
      <c r="L31" s="7" t="s">
        <v>32</v>
      </c>
    </row>
    <row r="32" spans="2:12">
      <c r="B32" s="33"/>
      <c r="C32" s="7" t="s">
        <v>15</v>
      </c>
      <c r="D32" s="6">
        <f t="shared" si="14"/>
        <v>40.806666666666672</v>
      </c>
      <c r="E32" s="6">
        <f t="shared" si="15"/>
        <v>13.086666666666666</v>
      </c>
      <c r="F32" s="6">
        <f t="shared" si="16"/>
        <v>9.838000000000001</v>
      </c>
      <c r="G32" s="6">
        <f t="shared" si="17"/>
        <v>10.019</v>
      </c>
      <c r="H32" s="6">
        <f t="shared" si="18"/>
        <v>9.8326666666666682</v>
      </c>
      <c r="I32" s="6">
        <f t="shared" si="19"/>
        <v>10.035</v>
      </c>
      <c r="K32" s="7" t="s">
        <v>33</v>
      </c>
      <c r="L32" s="7" t="s">
        <v>34</v>
      </c>
    </row>
    <row r="33" spans="2:12">
      <c r="B33" s="33"/>
      <c r="C33" s="7" t="s">
        <v>16</v>
      </c>
      <c r="D33" s="6">
        <f t="shared" si="14"/>
        <v>43.364333333333335</v>
      </c>
      <c r="E33" s="6">
        <f t="shared" si="15"/>
        <v>15.644333333333336</v>
      </c>
      <c r="F33" s="6">
        <f t="shared" si="16"/>
        <v>12.395666666666667</v>
      </c>
      <c r="G33" s="6">
        <f t="shared" si="17"/>
        <v>12.576666666666666</v>
      </c>
      <c r="H33" s="6">
        <f t="shared" si="18"/>
        <v>12.390333333333334</v>
      </c>
      <c r="I33" s="6">
        <f t="shared" si="19"/>
        <v>12.592666666666666</v>
      </c>
      <c r="K33" s="7" t="s">
        <v>35</v>
      </c>
      <c r="L33" s="7" t="s">
        <v>36</v>
      </c>
    </row>
    <row r="34" spans="2:12">
      <c r="B34" s="33"/>
      <c r="C34" s="7" t="s">
        <v>17</v>
      </c>
      <c r="D34" s="6">
        <f t="shared" si="14"/>
        <v>40.467999999999996</v>
      </c>
      <c r="E34" s="6">
        <f t="shared" si="15"/>
        <v>12.748000000000001</v>
      </c>
      <c r="F34" s="6">
        <f t="shared" si="16"/>
        <v>9.4993333333333325</v>
      </c>
      <c r="G34" s="6">
        <f t="shared" si="17"/>
        <v>9.6803333333333335</v>
      </c>
      <c r="H34" s="6">
        <f t="shared" si="18"/>
        <v>9.4940000000000015</v>
      </c>
      <c r="I34" s="6">
        <f t="shared" si="19"/>
        <v>9.6963333333333352</v>
      </c>
      <c r="K34" s="7" t="s">
        <v>37</v>
      </c>
      <c r="L34" s="7" t="s">
        <v>38</v>
      </c>
    </row>
    <row r="35" spans="2:12">
      <c r="B35" s="33"/>
      <c r="C35" s="7" t="s">
        <v>18</v>
      </c>
      <c r="D35" s="6">
        <f t="shared" si="14"/>
        <v>41.169666666666664</v>
      </c>
      <c r="E35" s="6">
        <f t="shared" si="15"/>
        <v>13.449666666666667</v>
      </c>
      <c r="F35" s="6">
        <f t="shared" si="16"/>
        <v>10.201000000000001</v>
      </c>
      <c r="G35" s="6">
        <f t="shared" si="17"/>
        <v>10.382000000000001</v>
      </c>
      <c r="H35" s="6">
        <f t="shared" si="18"/>
        <v>10.195666666666668</v>
      </c>
      <c r="I35" s="6">
        <f t="shared" si="19"/>
        <v>10.398</v>
      </c>
      <c r="K35" s="11"/>
      <c r="L35" s="10"/>
    </row>
    <row r="36" spans="2:12">
      <c r="B36" s="33"/>
      <c r="C36" s="7" t="s">
        <v>19</v>
      </c>
      <c r="D36" s="6">
        <f t="shared" si="14"/>
        <v>40.522999999999996</v>
      </c>
      <c r="E36" s="6">
        <f t="shared" si="15"/>
        <v>12.803000000000001</v>
      </c>
      <c r="F36" s="6">
        <f t="shared" si="16"/>
        <v>9.5543333333333322</v>
      </c>
      <c r="G36" s="6">
        <f t="shared" si="17"/>
        <v>9.7353333333333349</v>
      </c>
      <c r="H36" s="6">
        <f t="shared" si="18"/>
        <v>9.5490000000000013</v>
      </c>
      <c r="I36" s="6">
        <f t="shared" si="19"/>
        <v>9.751333333333335</v>
      </c>
      <c r="K36" s="9"/>
      <c r="L36" s="8"/>
    </row>
    <row r="37" spans="2:12">
      <c r="B37" s="33"/>
      <c r="C37" s="7" t="s">
        <v>20</v>
      </c>
      <c r="D37" s="6">
        <f t="shared" si="14"/>
        <v>41.592666666666673</v>
      </c>
      <c r="E37" s="6">
        <f t="shared" si="15"/>
        <v>13.872666666666667</v>
      </c>
      <c r="F37" s="6">
        <f t="shared" si="16"/>
        <v>10.624000000000001</v>
      </c>
      <c r="G37" s="6">
        <f t="shared" si="17"/>
        <v>10.805000000000001</v>
      </c>
      <c r="H37" s="6">
        <f t="shared" si="18"/>
        <v>10.618666666666666</v>
      </c>
      <c r="I37" s="6">
        <f t="shared" si="19"/>
        <v>10.821000000000002</v>
      </c>
      <c r="K37" s="9"/>
      <c r="L37" s="8"/>
    </row>
    <row r="38" spans="2:12">
      <c r="B38" s="34"/>
      <c r="C38" s="7" t="s">
        <v>21</v>
      </c>
      <c r="D38" s="6">
        <f t="shared" si="14"/>
        <v>47.057000000000009</v>
      </c>
      <c r="E38" s="6">
        <f t="shared" si="15"/>
        <v>19.337</v>
      </c>
      <c r="F38" s="6">
        <f t="shared" si="16"/>
        <v>16.088333333333335</v>
      </c>
      <c r="G38" s="6">
        <f t="shared" si="17"/>
        <v>16.269333333333332</v>
      </c>
      <c r="H38" s="6">
        <f t="shared" si="18"/>
        <v>16.082999999999998</v>
      </c>
      <c r="I38" s="6">
        <f t="shared" si="19"/>
        <v>16.285333333333334</v>
      </c>
      <c r="K38" s="5"/>
      <c r="L38" s="4"/>
    </row>
  </sheetData>
  <mergeCells count="2">
    <mergeCell ref="B16:B26"/>
    <mergeCell ref="B28:B38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01"/>
  <sheetViews>
    <sheetView tabSelected="1" topLeftCell="A292" workbookViewId="0">
      <selection activeCell="L306" sqref="L306"/>
    </sheetView>
  </sheetViews>
  <sheetFormatPr defaultRowHeight="16.5"/>
  <sheetData>
    <row r="1" spans="1:7">
      <c r="A1" s="31" t="s">
        <v>0</v>
      </c>
      <c r="B1" s="31" t="s">
        <v>1</v>
      </c>
      <c r="C1" s="31" t="s">
        <v>2</v>
      </c>
      <c r="D1" s="31" t="s">
        <v>41</v>
      </c>
      <c r="E1" s="31" t="s">
        <v>42</v>
      </c>
      <c r="F1" s="31" t="s">
        <v>43</v>
      </c>
      <c r="G1" s="31" t="s">
        <v>5</v>
      </c>
    </row>
    <row r="2" spans="1:7">
      <c r="A2">
        <v>2018</v>
      </c>
      <c r="B2">
        <v>3.5830000000000001E-2</v>
      </c>
      <c r="C2">
        <v>0.73750000000000004</v>
      </c>
      <c r="D2">
        <v>8.2300266570045799E-2</v>
      </c>
      <c r="E2">
        <v>0.77282810783402356</v>
      </c>
      <c r="F2">
        <v>0.42756418720203471</v>
      </c>
      <c r="G2" t="s">
        <v>34</v>
      </c>
    </row>
    <row r="3" spans="1:7">
      <c r="A3">
        <v>2018</v>
      </c>
      <c r="B3">
        <v>3.5830000000000001E-2</v>
      </c>
      <c r="C3">
        <v>6.071E-2</v>
      </c>
      <c r="D3">
        <v>8.2300266570045799E-2</v>
      </c>
      <c r="E3">
        <v>5.7888954618439958E-2</v>
      </c>
      <c r="F3">
        <v>7.0094610594242879E-2</v>
      </c>
      <c r="G3" t="s">
        <v>36</v>
      </c>
    </row>
    <row r="4" spans="1:7">
      <c r="A4">
        <v>2018</v>
      </c>
      <c r="B4">
        <v>3.5830000000000001E-2</v>
      </c>
      <c r="C4">
        <v>6.5500000000000003E-3</v>
      </c>
      <c r="D4">
        <v>8.2300266570045799E-2</v>
      </c>
      <c r="E4">
        <v>6.7607538240513874E-4</v>
      </c>
      <c r="F4">
        <v>4.1488170976225473E-2</v>
      </c>
      <c r="G4" t="s">
        <v>36</v>
      </c>
    </row>
    <row r="5" spans="1:7">
      <c r="A5">
        <v>2018</v>
      </c>
      <c r="B5">
        <v>3.5830000000000001E-2</v>
      </c>
      <c r="C5">
        <v>1.039E-2</v>
      </c>
      <c r="D5">
        <v>8.2300266570045799E-2</v>
      </c>
      <c r="E5">
        <v>4.7325276768359669E-3</v>
      </c>
      <c r="F5">
        <v>4.3516397123440881E-2</v>
      </c>
      <c r="G5" t="s">
        <v>36</v>
      </c>
    </row>
    <row r="6" spans="1:7">
      <c r="A6">
        <v>2018</v>
      </c>
      <c r="B6">
        <v>3.5830000000000001E-2</v>
      </c>
      <c r="C6">
        <v>6.7099999999999998E-3</v>
      </c>
      <c r="D6">
        <v>8.2300266570045799E-2</v>
      </c>
      <c r="E6">
        <v>8.4509422800642213E-4</v>
      </c>
      <c r="F6">
        <v>4.1572680399026112E-2</v>
      </c>
      <c r="G6" t="s">
        <v>36</v>
      </c>
    </row>
    <row r="7" spans="1:7">
      <c r="A7">
        <v>2018</v>
      </c>
      <c r="B7">
        <v>3.5830000000000001E-2</v>
      </c>
      <c r="C7">
        <v>7.0299999999999998E-3</v>
      </c>
      <c r="D7">
        <v>8.2300266570045799E-2</v>
      </c>
      <c r="E7">
        <v>1.1831319192089919E-3</v>
      </c>
      <c r="F7">
        <v>4.1741699244627388E-2</v>
      </c>
      <c r="G7" t="s">
        <v>36</v>
      </c>
    </row>
    <row r="8" spans="1:7">
      <c r="A8">
        <v>2018</v>
      </c>
      <c r="B8">
        <v>0.23246</v>
      </c>
      <c r="C8">
        <v>0.73750000000000004</v>
      </c>
      <c r="D8">
        <v>0.59119024819482902</v>
      </c>
      <c r="E8">
        <v>0.77282810783402356</v>
      </c>
      <c r="F8">
        <v>0.68200917801442629</v>
      </c>
      <c r="G8" t="s">
        <v>44</v>
      </c>
    </row>
    <row r="9" spans="1:7">
      <c r="A9">
        <v>2018</v>
      </c>
      <c r="B9">
        <v>0.23246</v>
      </c>
      <c r="C9">
        <v>6.071E-2</v>
      </c>
      <c r="D9">
        <v>0.59119024819482902</v>
      </c>
      <c r="E9">
        <v>5.7888954618439958E-2</v>
      </c>
      <c r="F9">
        <v>0.32453960140663451</v>
      </c>
      <c r="G9" t="s">
        <v>34</v>
      </c>
    </row>
    <row r="10" spans="1:7">
      <c r="A10">
        <v>2018</v>
      </c>
      <c r="B10">
        <v>0.23246</v>
      </c>
      <c r="C10">
        <v>6.5500000000000003E-3</v>
      </c>
      <c r="D10">
        <v>0.59119024819482902</v>
      </c>
      <c r="E10">
        <v>6.7607538240513874E-4</v>
      </c>
      <c r="F10">
        <v>0.29593316178861712</v>
      </c>
      <c r="G10" t="s">
        <v>34</v>
      </c>
    </row>
    <row r="11" spans="1:7">
      <c r="A11">
        <v>2018</v>
      </c>
      <c r="B11">
        <v>0.23246</v>
      </c>
      <c r="C11">
        <v>1.039E-2</v>
      </c>
      <c r="D11">
        <v>0.59119024819482902</v>
      </c>
      <c r="E11">
        <v>4.7325276768359669E-3</v>
      </c>
      <c r="F11">
        <v>0.29796138793583249</v>
      </c>
      <c r="G11" t="s">
        <v>34</v>
      </c>
    </row>
    <row r="12" spans="1:7">
      <c r="A12">
        <v>2018</v>
      </c>
      <c r="B12">
        <v>0.23246</v>
      </c>
      <c r="C12">
        <v>6.7099999999999998E-3</v>
      </c>
      <c r="D12">
        <v>0.59119024819482902</v>
      </c>
      <c r="E12">
        <v>8.4509422800642213E-4</v>
      </c>
      <c r="F12">
        <v>0.2960176712114177</v>
      </c>
      <c r="G12" t="s">
        <v>34</v>
      </c>
    </row>
    <row r="13" spans="1:7">
      <c r="A13">
        <v>2018</v>
      </c>
      <c r="B13">
        <v>0.23246</v>
      </c>
      <c r="C13">
        <v>7.0299999999999998E-3</v>
      </c>
      <c r="D13">
        <v>0.59119024819482902</v>
      </c>
      <c r="E13">
        <v>1.1831319192089919E-3</v>
      </c>
      <c r="F13">
        <v>0.29618669005701898</v>
      </c>
      <c r="G13" t="s">
        <v>34</v>
      </c>
    </row>
    <row r="14" spans="1:7">
      <c r="A14">
        <v>2018</v>
      </c>
      <c r="B14">
        <v>0.31441999999999998</v>
      </c>
      <c r="C14">
        <v>0.73750000000000004</v>
      </c>
      <c r="D14">
        <v>0.80330753901498475</v>
      </c>
      <c r="E14">
        <v>0.77282810783402356</v>
      </c>
      <c r="F14">
        <v>0.78806782342450421</v>
      </c>
      <c r="G14" t="s">
        <v>44</v>
      </c>
    </row>
    <row r="15" spans="1:7">
      <c r="A15">
        <v>2018</v>
      </c>
      <c r="B15">
        <v>0.31441999999999998</v>
      </c>
      <c r="C15">
        <v>6.071E-2</v>
      </c>
      <c r="D15">
        <v>0.80330753901498475</v>
      </c>
      <c r="E15">
        <v>5.7888954618439958E-2</v>
      </c>
      <c r="F15">
        <v>0.43059824681671233</v>
      </c>
      <c r="G15" t="s">
        <v>34</v>
      </c>
    </row>
    <row r="16" spans="1:7">
      <c r="A16">
        <v>2018</v>
      </c>
      <c r="B16">
        <v>0.31441999999999998</v>
      </c>
      <c r="C16">
        <v>6.5500000000000003E-3</v>
      </c>
      <c r="D16">
        <v>0.80330753901498475</v>
      </c>
      <c r="E16">
        <v>6.7607538240513874E-4</v>
      </c>
      <c r="F16">
        <v>0.40199180719869487</v>
      </c>
      <c r="G16" t="s">
        <v>34</v>
      </c>
    </row>
    <row r="17" spans="1:7">
      <c r="A17">
        <v>2018</v>
      </c>
      <c r="B17">
        <v>0.31441999999999998</v>
      </c>
      <c r="C17">
        <v>1.039E-2</v>
      </c>
      <c r="D17">
        <v>0.80330753901498475</v>
      </c>
      <c r="E17">
        <v>4.7325276768359669E-3</v>
      </c>
      <c r="F17">
        <v>0.40402003334591041</v>
      </c>
      <c r="G17" t="s">
        <v>34</v>
      </c>
    </row>
    <row r="18" spans="1:7">
      <c r="A18">
        <v>2018</v>
      </c>
      <c r="B18">
        <v>0.31441999999999998</v>
      </c>
      <c r="C18">
        <v>6.7099999999999998E-3</v>
      </c>
      <c r="D18">
        <v>0.80330753901498475</v>
      </c>
      <c r="E18">
        <v>8.4509422800642213E-4</v>
      </c>
      <c r="F18">
        <v>0.40207631662149562</v>
      </c>
      <c r="G18" t="s">
        <v>34</v>
      </c>
    </row>
    <row r="19" spans="1:7">
      <c r="A19">
        <v>2018</v>
      </c>
      <c r="B19">
        <v>0.31441999999999998</v>
      </c>
      <c r="C19">
        <v>7.0299999999999998E-3</v>
      </c>
      <c r="D19">
        <v>0.80330753901498475</v>
      </c>
      <c r="E19">
        <v>1.1831319192089919E-3</v>
      </c>
      <c r="F19">
        <v>0.4022453354670969</v>
      </c>
      <c r="G19" t="s">
        <v>34</v>
      </c>
    </row>
    <row r="20" spans="1:7">
      <c r="A20">
        <v>2018</v>
      </c>
      <c r="B20">
        <v>2.1350000000000001E-2</v>
      </c>
      <c r="C20">
        <v>0.73750000000000004</v>
      </c>
      <c r="D20">
        <v>4.4825176635006077E-2</v>
      </c>
      <c r="E20">
        <v>0.77282810783402356</v>
      </c>
      <c r="F20">
        <v>0.40882664223451481</v>
      </c>
      <c r="G20" t="s">
        <v>34</v>
      </c>
    </row>
    <row r="21" spans="1:7">
      <c r="A21">
        <v>2018</v>
      </c>
      <c r="B21">
        <v>2.1350000000000001E-2</v>
      </c>
      <c r="C21">
        <v>6.071E-2</v>
      </c>
      <c r="D21">
        <v>4.4825176635006077E-2</v>
      </c>
      <c r="E21">
        <v>5.7888954618439958E-2</v>
      </c>
      <c r="F21">
        <v>5.1357065626723021E-2</v>
      </c>
      <c r="G21" t="s">
        <v>36</v>
      </c>
    </row>
    <row r="22" spans="1:7">
      <c r="A22">
        <v>2018</v>
      </c>
      <c r="B22">
        <v>2.1350000000000001E-2</v>
      </c>
      <c r="C22">
        <v>6.5500000000000003E-3</v>
      </c>
      <c r="D22">
        <v>4.4825176635006077E-2</v>
      </c>
      <c r="E22">
        <v>6.7607538240513874E-4</v>
      </c>
      <c r="F22">
        <v>2.2750626008705609E-2</v>
      </c>
      <c r="G22" t="s">
        <v>36</v>
      </c>
    </row>
    <row r="23" spans="1:7">
      <c r="A23">
        <v>2018</v>
      </c>
      <c r="B23">
        <v>2.1350000000000001E-2</v>
      </c>
      <c r="C23">
        <v>1.039E-2</v>
      </c>
      <c r="D23">
        <v>4.4825176635006077E-2</v>
      </c>
      <c r="E23">
        <v>4.7325276768359669E-3</v>
      </c>
      <c r="F23">
        <v>2.477885215592103E-2</v>
      </c>
      <c r="G23" t="s">
        <v>36</v>
      </c>
    </row>
    <row r="24" spans="1:7">
      <c r="A24">
        <v>2018</v>
      </c>
      <c r="B24">
        <v>2.1350000000000001E-2</v>
      </c>
      <c r="C24">
        <v>6.7099999999999998E-3</v>
      </c>
      <c r="D24">
        <v>4.4825176635006077E-2</v>
      </c>
      <c r="E24">
        <v>8.4509422800642213E-4</v>
      </c>
      <c r="F24">
        <v>2.283513543150625E-2</v>
      </c>
      <c r="G24" t="s">
        <v>36</v>
      </c>
    </row>
    <row r="25" spans="1:7">
      <c r="A25">
        <v>2018</v>
      </c>
      <c r="B25">
        <v>2.1350000000000001E-2</v>
      </c>
      <c r="C25">
        <v>7.0299999999999998E-3</v>
      </c>
      <c r="D25">
        <v>4.4825176635006077E-2</v>
      </c>
      <c r="E25">
        <v>1.1831319192089919E-3</v>
      </c>
      <c r="F25">
        <v>2.3004154277107541E-2</v>
      </c>
      <c r="G25" t="s">
        <v>36</v>
      </c>
    </row>
    <row r="26" spans="1:7">
      <c r="A26">
        <v>2018</v>
      </c>
      <c r="B26">
        <v>6.5089999999999995E-2</v>
      </c>
      <c r="C26">
        <v>0.73750000000000004</v>
      </c>
      <c r="D26">
        <v>0.1580268640492766</v>
      </c>
      <c r="E26">
        <v>0.77282810783402356</v>
      </c>
      <c r="F26">
        <v>0.46542748594165012</v>
      </c>
      <c r="G26" t="s">
        <v>34</v>
      </c>
    </row>
    <row r="27" spans="1:7">
      <c r="A27">
        <v>2018</v>
      </c>
      <c r="B27">
        <v>6.5089999999999995E-2</v>
      </c>
      <c r="C27">
        <v>6.071E-2</v>
      </c>
      <c r="D27">
        <v>0.1580268640492766</v>
      </c>
      <c r="E27">
        <v>5.7888954618439958E-2</v>
      </c>
      <c r="F27">
        <v>0.10795790933385831</v>
      </c>
      <c r="G27" t="s">
        <v>36</v>
      </c>
    </row>
    <row r="28" spans="1:7">
      <c r="A28">
        <v>2018</v>
      </c>
      <c r="B28">
        <v>6.5089999999999995E-2</v>
      </c>
      <c r="C28">
        <v>6.5500000000000003E-3</v>
      </c>
      <c r="D28">
        <v>0.1580268640492766</v>
      </c>
      <c r="E28">
        <v>6.7607538240513874E-4</v>
      </c>
      <c r="F28">
        <v>7.9351469715840867E-2</v>
      </c>
      <c r="G28" t="s">
        <v>36</v>
      </c>
    </row>
    <row r="29" spans="1:7">
      <c r="A29">
        <v>2018</v>
      </c>
      <c r="B29">
        <v>6.5089999999999995E-2</v>
      </c>
      <c r="C29">
        <v>1.039E-2</v>
      </c>
      <c r="D29">
        <v>0.1580268640492766</v>
      </c>
      <c r="E29">
        <v>4.7325276768359669E-3</v>
      </c>
      <c r="F29">
        <v>8.1379695863056281E-2</v>
      </c>
      <c r="G29" t="s">
        <v>36</v>
      </c>
    </row>
    <row r="30" spans="1:7">
      <c r="A30">
        <v>2018</v>
      </c>
      <c r="B30">
        <v>6.5089999999999995E-2</v>
      </c>
      <c r="C30">
        <v>6.7099999999999998E-3</v>
      </c>
      <c r="D30">
        <v>0.1580268640492766</v>
      </c>
      <c r="E30">
        <v>8.4509422800642213E-4</v>
      </c>
      <c r="F30">
        <v>7.9435979138641505E-2</v>
      </c>
      <c r="G30" t="s">
        <v>36</v>
      </c>
    </row>
    <row r="31" spans="1:7">
      <c r="A31">
        <v>2018</v>
      </c>
      <c r="B31">
        <v>6.5089999999999995E-2</v>
      </c>
      <c r="C31">
        <v>7.0299999999999998E-3</v>
      </c>
      <c r="D31">
        <v>0.1580268640492766</v>
      </c>
      <c r="E31">
        <v>1.1831319192089919E-3</v>
      </c>
      <c r="F31">
        <v>7.9604997984242795E-2</v>
      </c>
      <c r="G31" t="s">
        <v>36</v>
      </c>
    </row>
    <row r="32" spans="1:7">
      <c r="A32">
        <v>2018</v>
      </c>
      <c r="B32">
        <v>5.0800000000000003E-3</v>
      </c>
      <c r="C32">
        <v>0.73750000000000004</v>
      </c>
      <c r="D32">
        <v>2.7174616320298169E-3</v>
      </c>
      <c r="E32">
        <v>0.77282810783402356</v>
      </c>
      <c r="F32">
        <v>0.38777278473302668</v>
      </c>
      <c r="G32" t="s">
        <v>34</v>
      </c>
    </row>
    <row r="33" spans="1:7">
      <c r="A33">
        <v>2018</v>
      </c>
      <c r="B33">
        <v>5.0800000000000003E-3</v>
      </c>
      <c r="C33">
        <v>6.071E-2</v>
      </c>
      <c r="D33">
        <v>2.7174616320298169E-3</v>
      </c>
      <c r="E33">
        <v>5.7888954618439958E-2</v>
      </c>
      <c r="F33">
        <v>3.030320812523489E-2</v>
      </c>
      <c r="G33" t="s">
        <v>36</v>
      </c>
    </row>
    <row r="34" spans="1:7">
      <c r="A34">
        <v>2018</v>
      </c>
      <c r="B34">
        <v>5.0800000000000003E-3</v>
      </c>
      <c r="C34">
        <v>6.5500000000000003E-3</v>
      </c>
      <c r="D34">
        <v>2.7174616320298169E-3</v>
      </c>
      <c r="E34">
        <v>6.7607538240513874E-4</v>
      </c>
      <c r="F34">
        <v>1.6967685072174781E-3</v>
      </c>
      <c r="G34" t="s">
        <v>36</v>
      </c>
    </row>
    <row r="35" spans="1:7">
      <c r="A35">
        <v>2018</v>
      </c>
      <c r="B35">
        <v>5.0800000000000003E-3</v>
      </c>
      <c r="C35">
        <v>1.039E-2</v>
      </c>
      <c r="D35">
        <v>2.7174616320298169E-3</v>
      </c>
      <c r="E35">
        <v>4.7325276768359669E-3</v>
      </c>
      <c r="F35">
        <v>3.7249946544328921E-3</v>
      </c>
      <c r="G35" t="s">
        <v>36</v>
      </c>
    </row>
    <row r="36" spans="1:7">
      <c r="A36">
        <v>2018</v>
      </c>
      <c r="B36">
        <v>5.0800000000000003E-3</v>
      </c>
      <c r="C36">
        <v>6.7099999999999998E-3</v>
      </c>
      <c r="D36">
        <v>2.7174616320298169E-3</v>
      </c>
      <c r="E36">
        <v>8.4509422800642213E-4</v>
      </c>
      <c r="F36">
        <v>1.7812779300181191E-3</v>
      </c>
      <c r="G36" t="s">
        <v>36</v>
      </c>
    </row>
    <row r="37" spans="1:7">
      <c r="A37">
        <v>2018</v>
      </c>
      <c r="B37">
        <v>5.0800000000000003E-3</v>
      </c>
      <c r="C37">
        <v>7.0299999999999998E-3</v>
      </c>
      <c r="D37">
        <v>2.7174616320298169E-3</v>
      </c>
      <c r="E37">
        <v>1.1831319192089919E-3</v>
      </c>
      <c r="F37">
        <v>1.950296775619404E-3</v>
      </c>
      <c r="G37" t="s">
        <v>36</v>
      </c>
    </row>
    <row r="38" spans="1:7">
      <c r="A38">
        <v>2018</v>
      </c>
      <c r="B38">
        <v>2.001E-2</v>
      </c>
      <c r="C38">
        <v>0.73750000000000004</v>
      </c>
      <c r="D38">
        <v>4.1357177980796613E-2</v>
      </c>
      <c r="E38">
        <v>0.77282810783402356</v>
      </c>
      <c r="F38">
        <v>0.4070926429074101</v>
      </c>
      <c r="G38" t="s">
        <v>34</v>
      </c>
    </row>
    <row r="39" spans="1:7">
      <c r="A39">
        <v>2018</v>
      </c>
      <c r="B39">
        <v>2.001E-2</v>
      </c>
      <c r="C39">
        <v>6.071E-2</v>
      </c>
      <c r="D39">
        <v>4.1357177980796613E-2</v>
      </c>
      <c r="E39">
        <v>5.7888954618439958E-2</v>
      </c>
      <c r="F39">
        <v>4.9623066299618282E-2</v>
      </c>
      <c r="G39" t="s">
        <v>36</v>
      </c>
    </row>
    <row r="40" spans="1:7">
      <c r="A40">
        <v>2018</v>
      </c>
      <c r="B40">
        <v>2.001E-2</v>
      </c>
      <c r="C40">
        <v>6.5500000000000003E-3</v>
      </c>
      <c r="D40">
        <v>4.1357177980796613E-2</v>
      </c>
      <c r="E40">
        <v>6.7607538240513874E-4</v>
      </c>
      <c r="F40">
        <v>2.101662668160087E-2</v>
      </c>
      <c r="G40" t="s">
        <v>36</v>
      </c>
    </row>
    <row r="41" spans="1:7">
      <c r="A41">
        <v>2018</v>
      </c>
      <c r="B41">
        <v>2.001E-2</v>
      </c>
      <c r="C41">
        <v>1.039E-2</v>
      </c>
      <c r="D41">
        <v>4.1357177980796613E-2</v>
      </c>
      <c r="E41">
        <v>4.7325276768359669E-3</v>
      </c>
      <c r="F41">
        <v>2.3044852828816291E-2</v>
      </c>
      <c r="G41" t="s">
        <v>36</v>
      </c>
    </row>
    <row r="42" spans="1:7">
      <c r="A42">
        <v>2018</v>
      </c>
      <c r="B42">
        <v>2.001E-2</v>
      </c>
      <c r="C42">
        <v>6.7099999999999998E-3</v>
      </c>
      <c r="D42">
        <v>4.1357177980796613E-2</v>
      </c>
      <c r="E42">
        <v>8.4509422800642213E-4</v>
      </c>
      <c r="F42">
        <v>2.1101136104401511E-2</v>
      </c>
      <c r="G42" t="s">
        <v>36</v>
      </c>
    </row>
    <row r="43" spans="1:7">
      <c r="A43">
        <v>2018</v>
      </c>
      <c r="B43">
        <v>2.001E-2</v>
      </c>
      <c r="C43">
        <v>7.0299999999999998E-3</v>
      </c>
      <c r="D43">
        <v>4.1357177980796613E-2</v>
      </c>
      <c r="E43">
        <v>1.1831319192089919E-3</v>
      </c>
      <c r="F43">
        <v>2.1270154950002802E-2</v>
      </c>
      <c r="G43" t="s">
        <v>36</v>
      </c>
    </row>
    <row r="44" spans="1:7">
      <c r="A44">
        <v>2018</v>
      </c>
      <c r="B44">
        <v>8.8100000000000001E-3</v>
      </c>
      <c r="C44">
        <v>0.73750000000000004</v>
      </c>
      <c r="D44">
        <v>1.2370920572478581E-2</v>
      </c>
      <c r="E44">
        <v>0.77282810783402356</v>
      </c>
      <c r="F44">
        <v>0.39259951420325112</v>
      </c>
      <c r="G44" t="s">
        <v>34</v>
      </c>
    </row>
    <row r="45" spans="1:7">
      <c r="A45">
        <v>2018</v>
      </c>
      <c r="B45">
        <v>8.8100000000000001E-3</v>
      </c>
      <c r="C45">
        <v>6.071E-2</v>
      </c>
      <c r="D45">
        <v>1.2370920572478581E-2</v>
      </c>
      <c r="E45">
        <v>5.7888954618439958E-2</v>
      </c>
      <c r="F45">
        <v>3.5129937595459272E-2</v>
      </c>
      <c r="G45" t="s">
        <v>36</v>
      </c>
    </row>
    <row r="46" spans="1:7">
      <c r="A46">
        <v>2018</v>
      </c>
      <c r="B46">
        <v>8.8100000000000001E-3</v>
      </c>
      <c r="C46">
        <v>6.5500000000000003E-3</v>
      </c>
      <c r="D46">
        <v>1.2370920572478581E-2</v>
      </c>
      <c r="E46">
        <v>6.7607538240513874E-4</v>
      </c>
      <c r="F46">
        <v>6.5234979774418606E-3</v>
      </c>
      <c r="G46" t="s">
        <v>36</v>
      </c>
    </row>
    <row r="47" spans="1:7">
      <c r="A47">
        <v>2018</v>
      </c>
      <c r="B47">
        <v>8.8100000000000001E-3</v>
      </c>
      <c r="C47">
        <v>1.039E-2</v>
      </c>
      <c r="D47">
        <v>1.2370920572478581E-2</v>
      </c>
      <c r="E47">
        <v>4.7325276768359669E-3</v>
      </c>
      <c r="F47">
        <v>8.551724124657276E-3</v>
      </c>
      <c r="G47" t="s">
        <v>36</v>
      </c>
    </row>
    <row r="48" spans="1:7">
      <c r="A48">
        <v>2018</v>
      </c>
      <c r="B48">
        <v>8.8100000000000001E-3</v>
      </c>
      <c r="C48">
        <v>6.7099999999999998E-3</v>
      </c>
      <c r="D48">
        <v>1.2370920572478581E-2</v>
      </c>
      <c r="E48">
        <v>8.4509422800642213E-4</v>
      </c>
      <c r="F48">
        <v>6.6080074002425031E-3</v>
      </c>
      <c r="G48" t="s">
        <v>36</v>
      </c>
    </row>
    <row r="49" spans="1:7">
      <c r="A49">
        <v>2018</v>
      </c>
      <c r="B49">
        <v>8.8100000000000001E-3</v>
      </c>
      <c r="C49">
        <v>7.0299999999999998E-3</v>
      </c>
      <c r="D49">
        <v>1.2370920572478581E-2</v>
      </c>
      <c r="E49">
        <v>1.1831319192089919E-3</v>
      </c>
      <c r="F49">
        <v>6.7770262458437883E-3</v>
      </c>
      <c r="G49" t="s">
        <v>36</v>
      </c>
    </row>
    <row r="50" spans="1:7">
      <c r="A50">
        <v>2018</v>
      </c>
      <c r="B50">
        <v>2.5080000000000002E-2</v>
      </c>
      <c r="C50">
        <v>0.73750000000000004</v>
      </c>
      <c r="D50">
        <v>5.4478635575454848E-2</v>
      </c>
      <c r="E50">
        <v>0.77282810783402356</v>
      </c>
      <c r="F50">
        <v>0.4136533717047392</v>
      </c>
      <c r="G50" t="s">
        <v>34</v>
      </c>
    </row>
    <row r="51" spans="1:7">
      <c r="A51">
        <v>2018</v>
      </c>
      <c r="B51">
        <v>2.5080000000000002E-2</v>
      </c>
      <c r="C51">
        <v>6.071E-2</v>
      </c>
      <c r="D51">
        <v>5.4478635575454848E-2</v>
      </c>
      <c r="E51">
        <v>5.7888954618439958E-2</v>
      </c>
      <c r="F51">
        <v>5.6183795096947403E-2</v>
      </c>
      <c r="G51" t="s">
        <v>36</v>
      </c>
    </row>
    <row r="52" spans="1:7">
      <c r="A52">
        <v>2018</v>
      </c>
      <c r="B52">
        <v>2.5080000000000002E-2</v>
      </c>
      <c r="C52">
        <v>6.5500000000000003E-3</v>
      </c>
      <c r="D52">
        <v>5.4478635575454848E-2</v>
      </c>
      <c r="E52">
        <v>6.7607538240513874E-4</v>
      </c>
      <c r="F52">
        <v>2.7577355478930001E-2</v>
      </c>
      <c r="G52" t="s">
        <v>36</v>
      </c>
    </row>
    <row r="53" spans="1:7">
      <c r="A53">
        <v>2018</v>
      </c>
      <c r="B53">
        <v>2.5080000000000002E-2</v>
      </c>
      <c r="C53">
        <v>1.039E-2</v>
      </c>
      <c r="D53">
        <v>5.4478635575454848E-2</v>
      </c>
      <c r="E53">
        <v>4.7325276768359669E-3</v>
      </c>
      <c r="F53">
        <v>2.9605581626145409E-2</v>
      </c>
      <c r="G53" t="s">
        <v>36</v>
      </c>
    </row>
    <row r="54" spans="1:7">
      <c r="A54">
        <v>2018</v>
      </c>
      <c r="B54">
        <v>2.5080000000000002E-2</v>
      </c>
      <c r="C54">
        <v>6.7099999999999998E-3</v>
      </c>
      <c r="D54">
        <v>5.4478635575454848E-2</v>
      </c>
      <c r="E54">
        <v>8.4509422800642213E-4</v>
      </c>
      <c r="F54">
        <v>2.7661864901730639E-2</v>
      </c>
      <c r="G54" t="s">
        <v>36</v>
      </c>
    </row>
    <row r="55" spans="1:7">
      <c r="A55">
        <v>2018</v>
      </c>
      <c r="B55">
        <v>2.5080000000000002E-2</v>
      </c>
      <c r="C55">
        <v>7.0299999999999998E-3</v>
      </c>
      <c r="D55">
        <v>5.4478635575454848E-2</v>
      </c>
      <c r="E55">
        <v>1.1831319192089919E-3</v>
      </c>
      <c r="F55">
        <v>2.7830883747331919E-2</v>
      </c>
      <c r="G55" t="s">
        <v>36</v>
      </c>
    </row>
    <row r="56" spans="1:7">
      <c r="A56">
        <v>2018</v>
      </c>
      <c r="B56">
        <v>0.11765</v>
      </c>
      <c r="C56">
        <v>0.73750000000000004</v>
      </c>
      <c r="D56">
        <v>0.29405522917259758</v>
      </c>
      <c r="E56">
        <v>0.77282810783402356</v>
      </c>
      <c r="F56">
        <v>0.53344166850331054</v>
      </c>
      <c r="G56" t="s">
        <v>34</v>
      </c>
    </row>
    <row r="57" spans="1:7">
      <c r="A57">
        <v>2018</v>
      </c>
      <c r="B57">
        <v>0.11765</v>
      </c>
      <c r="C57">
        <v>6.071E-2</v>
      </c>
      <c r="D57">
        <v>0.29405522917259758</v>
      </c>
      <c r="E57">
        <v>5.7888954618439958E-2</v>
      </c>
      <c r="F57">
        <v>0.1759720918955188</v>
      </c>
      <c r="G57" t="s">
        <v>36</v>
      </c>
    </row>
    <row r="58" spans="1:7">
      <c r="A58">
        <v>2018</v>
      </c>
      <c r="B58">
        <v>0.11765</v>
      </c>
      <c r="C58">
        <v>6.5500000000000003E-3</v>
      </c>
      <c r="D58">
        <v>0.29405522917259758</v>
      </c>
      <c r="E58">
        <v>6.7607538240513874E-4</v>
      </c>
      <c r="F58">
        <v>0.1473656522775014</v>
      </c>
      <c r="G58" t="s">
        <v>36</v>
      </c>
    </row>
    <row r="59" spans="1:7">
      <c r="A59">
        <v>2018</v>
      </c>
      <c r="B59">
        <v>0.11765</v>
      </c>
      <c r="C59">
        <v>1.039E-2</v>
      </c>
      <c r="D59">
        <v>0.29405522917259758</v>
      </c>
      <c r="E59">
        <v>4.7325276768359669E-3</v>
      </c>
      <c r="F59">
        <v>0.1493938784247168</v>
      </c>
      <c r="G59" t="s">
        <v>36</v>
      </c>
    </row>
    <row r="60" spans="1:7">
      <c r="A60">
        <v>2018</v>
      </c>
      <c r="B60">
        <v>0.11765</v>
      </c>
      <c r="C60">
        <v>6.7099999999999998E-3</v>
      </c>
      <c r="D60">
        <v>0.29405522917259758</v>
      </c>
      <c r="E60">
        <v>8.4509422800642213E-4</v>
      </c>
      <c r="F60">
        <v>0.14745016170030201</v>
      </c>
      <c r="G60" t="s">
        <v>36</v>
      </c>
    </row>
    <row r="61" spans="1:7">
      <c r="A61">
        <v>2018</v>
      </c>
      <c r="B61">
        <v>0.11765</v>
      </c>
      <c r="C61">
        <v>7.0299999999999998E-3</v>
      </c>
      <c r="D61">
        <v>0.29405522917259758</v>
      </c>
      <c r="E61">
        <v>1.1831319192089919E-3</v>
      </c>
      <c r="F61">
        <v>0.14761918054590331</v>
      </c>
      <c r="G61" t="s">
        <v>36</v>
      </c>
    </row>
    <row r="62" spans="1:7">
      <c r="A62">
        <v>2019</v>
      </c>
      <c r="B62">
        <v>2.9860000000000001E-2</v>
      </c>
      <c r="C62">
        <v>0.71097999999999995</v>
      </c>
      <c r="D62">
        <v>6.6849556147933434E-2</v>
      </c>
      <c r="E62">
        <v>0.74481323417561052</v>
      </c>
      <c r="F62">
        <v>0.40583139516177202</v>
      </c>
      <c r="G62" t="s">
        <v>34</v>
      </c>
    </row>
    <row r="63" spans="1:7">
      <c r="A63">
        <v>2019</v>
      </c>
      <c r="B63">
        <v>2.9860000000000001E-2</v>
      </c>
      <c r="C63">
        <v>7.7649999999999997E-2</v>
      </c>
      <c r="D63">
        <v>6.6849556147933434E-2</v>
      </c>
      <c r="E63">
        <v>7.5783824896475963E-2</v>
      </c>
      <c r="F63">
        <v>7.1316690522204698E-2</v>
      </c>
      <c r="G63" t="s">
        <v>36</v>
      </c>
    </row>
    <row r="64" spans="1:7">
      <c r="A64">
        <v>2019</v>
      </c>
      <c r="B64">
        <v>2.9860000000000001E-2</v>
      </c>
      <c r="C64">
        <v>2.0930000000000001E-2</v>
      </c>
      <c r="D64">
        <v>6.6849556147933434E-2</v>
      </c>
      <c r="E64">
        <v>1.586664413082059E-2</v>
      </c>
      <c r="F64">
        <v>4.1358100139377012E-2</v>
      </c>
      <c r="G64" t="s">
        <v>36</v>
      </c>
    </row>
    <row r="65" spans="1:7">
      <c r="A65">
        <v>2019</v>
      </c>
      <c r="B65">
        <v>2.9860000000000001E-2</v>
      </c>
      <c r="C65">
        <v>7.1900000000000002E-3</v>
      </c>
      <c r="D65">
        <v>6.6849556147933434E-2</v>
      </c>
      <c r="E65">
        <v>1.3521507648102771E-3</v>
      </c>
      <c r="F65">
        <v>3.4100853456371857E-2</v>
      </c>
      <c r="G65" t="s">
        <v>36</v>
      </c>
    </row>
    <row r="66" spans="1:7">
      <c r="A66">
        <v>2019</v>
      </c>
      <c r="B66">
        <v>2.9860000000000001E-2</v>
      </c>
      <c r="C66">
        <v>9.5899999999999996E-3</v>
      </c>
      <c r="D66">
        <v>6.6849556147933434E-2</v>
      </c>
      <c r="E66">
        <v>3.8874334488295452E-3</v>
      </c>
      <c r="F66">
        <v>3.5368494798381493E-2</v>
      </c>
      <c r="G66" t="s">
        <v>36</v>
      </c>
    </row>
    <row r="67" spans="1:7">
      <c r="A67">
        <v>2019</v>
      </c>
      <c r="B67">
        <v>2.9860000000000001E-2</v>
      </c>
      <c r="C67">
        <v>1.1339999999999999E-2</v>
      </c>
      <c r="D67">
        <v>6.6849556147933434E-2</v>
      </c>
      <c r="E67">
        <v>5.7360770725935943E-3</v>
      </c>
      <c r="F67">
        <v>3.6292816610263512E-2</v>
      </c>
      <c r="G67" t="s">
        <v>36</v>
      </c>
    </row>
    <row r="68" spans="1:7">
      <c r="A68">
        <v>2019</v>
      </c>
      <c r="B68">
        <v>0.26112000000000002</v>
      </c>
      <c r="C68">
        <v>0.71097999999999995</v>
      </c>
      <c r="D68">
        <v>0.6653640104557571</v>
      </c>
      <c r="E68">
        <v>0.74481323417561052</v>
      </c>
      <c r="F68">
        <v>0.70508862231568381</v>
      </c>
      <c r="G68" t="s">
        <v>44</v>
      </c>
    </row>
    <row r="69" spans="1:7">
      <c r="A69">
        <v>2019</v>
      </c>
      <c r="B69">
        <v>0.26112000000000002</v>
      </c>
      <c r="C69">
        <v>7.7649999999999997E-2</v>
      </c>
      <c r="D69">
        <v>0.6653640104557571</v>
      </c>
      <c r="E69">
        <v>7.5783824896475963E-2</v>
      </c>
      <c r="F69">
        <v>0.37057391767611653</v>
      </c>
      <c r="G69" t="s">
        <v>34</v>
      </c>
    </row>
    <row r="70" spans="1:7">
      <c r="A70">
        <v>2019</v>
      </c>
      <c r="B70">
        <v>0.26112000000000002</v>
      </c>
      <c r="C70">
        <v>2.0930000000000001E-2</v>
      </c>
      <c r="D70">
        <v>0.6653640104557571</v>
      </c>
      <c r="E70">
        <v>1.586664413082059E-2</v>
      </c>
      <c r="F70">
        <v>0.34061532729328892</v>
      </c>
      <c r="G70" t="s">
        <v>34</v>
      </c>
    </row>
    <row r="71" spans="1:7">
      <c r="A71">
        <v>2019</v>
      </c>
      <c r="B71">
        <v>0.26112000000000002</v>
      </c>
      <c r="C71">
        <v>7.1900000000000002E-3</v>
      </c>
      <c r="D71">
        <v>0.6653640104557571</v>
      </c>
      <c r="E71">
        <v>1.3521507648102771E-3</v>
      </c>
      <c r="F71">
        <v>0.33335808061028371</v>
      </c>
      <c r="G71" t="s">
        <v>34</v>
      </c>
    </row>
    <row r="72" spans="1:7">
      <c r="A72">
        <v>2019</v>
      </c>
      <c r="B72">
        <v>0.26112000000000002</v>
      </c>
      <c r="C72">
        <v>9.5899999999999996E-3</v>
      </c>
      <c r="D72">
        <v>0.6653640104557571</v>
      </c>
      <c r="E72">
        <v>3.8874334488295452E-3</v>
      </c>
      <c r="F72">
        <v>0.33462572195229329</v>
      </c>
      <c r="G72" t="s">
        <v>34</v>
      </c>
    </row>
    <row r="73" spans="1:7">
      <c r="A73">
        <v>2019</v>
      </c>
      <c r="B73">
        <v>0.26112000000000002</v>
      </c>
      <c r="C73">
        <v>1.1339999999999999E-2</v>
      </c>
      <c r="D73">
        <v>0.6653640104557571</v>
      </c>
      <c r="E73">
        <v>5.7360770725935943E-3</v>
      </c>
      <c r="F73">
        <v>0.33555004376417541</v>
      </c>
      <c r="G73" t="s">
        <v>34</v>
      </c>
    </row>
    <row r="74" spans="1:7">
      <c r="A74">
        <v>2019</v>
      </c>
      <c r="B74">
        <v>0.26917999999999997</v>
      </c>
      <c r="C74">
        <v>0.71097999999999995</v>
      </c>
      <c r="D74">
        <v>0.68622376355495729</v>
      </c>
      <c r="E74">
        <v>0.74481323417561052</v>
      </c>
      <c r="F74">
        <v>0.71551849886528385</v>
      </c>
      <c r="G74" t="s">
        <v>44</v>
      </c>
    </row>
    <row r="75" spans="1:7">
      <c r="A75">
        <v>2019</v>
      </c>
      <c r="B75">
        <v>0.26917999999999997</v>
      </c>
      <c r="C75">
        <v>7.7649999999999997E-2</v>
      </c>
      <c r="D75">
        <v>0.68622376355495729</v>
      </c>
      <c r="E75">
        <v>7.5783824896475963E-2</v>
      </c>
      <c r="F75">
        <v>0.38100379422571662</v>
      </c>
      <c r="G75" t="s">
        <v>34</v>
      </c>
    </row>
    <row r="76" spans="1:7">
      <c r="A76">
        <v>2019</v>
      </c>
      <c r="B76">
        <v>0.26917999999999997</v>
      </c>
      <c r="C76">
        <v>2.0930000000000001E-2</v>
      </c>
      <c r="D76">
        <v>0.68622376355495729</v>
      </c>
      <c r="E76">
        <v>1.586664413082059E-2</v>
      </c>
      <c r="F76">
        <v>0.35104520384288901</v>
      </c>
      <c r="G76" t="s">
        <v>34</v>
      </c>
    </row>
    <row r="77" spans="1:7">
      <c r="A77">
        <v>2019</v>
      </c>
      <c r="B77">
        <v>0.26917999999999997</v>
      </c>
      <c r="C77">
        <v>7.1900000000000002E-3</v>
      </c>
      <c r="D77">
        <v>0.68622376355495729</v>
      </c>
      <c r="E77">
        <v>1.3521507648102771E-3</v>
      </c>
      <c r="F77">
        <v>0.34378795715988381</v>
      </c>
      <c r="G77" t="s">
        <v>34</v>
      </c>
    </row>
    <row r="78" spans="1:7">
      <c r="A78">
        <v>2019</v>
      </c>
      <c r="B78">
        <v>0.26917999999999997</v>
      </c>
      <c r="C78">
        <v>9.5899999999999996E-3</v>
      </c>
      <c r="D78">
        <v>0.68622376355495729</v>
      </c>
      <c r="E78">
        <v>3.8874334488295452E-3</v>
      </c>
      <c r="F78">
        <v>0.34505559850189338</v>
      </c>
      <c r="G78" t="s">
        <v>34</v>
      </c>
    </row>
    <row r="79" spans="1:7">
      <c r="A79">
        <v>2019</v>
      </c>
      <c r="B79">
        <v>0.26917999999999997</v>
      </c>
      <c r="C79">
        <v>1.1339999999999999E-2</v>
      </c>
      <c r="D79">
        <v>0.68622376355495729</v>
      </c>
      <c r="E79">
        <v>5.7360770725935943E-3</v>
      </c>
      <c r="F79">
        <v>0.34597992031377539</v>
      </c>
      <c r="G79" t="s">
        <v>34</v>
      </c>
    </row>
    <row r="80" spans="1:7">
      <c r="A80">
        <v>2019</v>
      </c>
      <c r="B80">
        <v>1.627E-2</v>
      </c>
      <c r="C80">
        <v>0.71097999999999995</v>
      </c>
      <c r="D80">
        <v>3.1677838453376121E-2</v>
      </c>
      <c r="E80">
        <v>0.74481323417561052</v>
      </c>
      <c r="F80">
        <v>0.38824553631449332</v>
      </c>
      <c r="G80" t="s">
        <v>34</v>
      </c>
    </row>
    <row r="81" spans="1:7">
      <c r="A81">
        <v>2019</v>
      </c>
      <c r="B81">
        <v>1.627E-2</v>
      </c>
      <c r="C81">
        <v>7.7649999999999997E-2</v>
      </c>
      <c r="D81">
        <v>3.1677838453376121E-2</v>
      </c>
      <c r="E81">
        <v>7.5783824896475963E-2</v>
      </c>
      <c r="F81">
        <v>5.3730831674926038E-2</v>
      </c>
      <c r="G81" t="s">
        <v>36</v>
      </c>
    </row>
    <row r="82" spans="1:7">
      <c r="A82">
        <v>2019</v>
      </c>
      <c r="B82">
        <v>1.627E-2</v>
      </c>
      <c r="C82">
        <v>2.0930000000000001E-2</v>
      </c>
      <c r="D82">
        <v>3.1677838453376121E-2</v>
      </c>
      <c r="E82">
        <v>1.586664413082059E-2</v>
      </c>
      <c r="F82">
        <v>2.3772241292098359E-2</v>
      </c>
      <c r="G82" t="s">
        <v>36</v>
      </c>
    </row>
    <row r="83" spans="1:7">
      <c r="A83">
        <v>2019</v>
      </c>
      <c r="B83">
        <v>1.627E-2</v>
      </c>
      <c r="C83">
        <v>7.1900000000000002E-3</v>
      </c>
      <c r="D83">
        <v>3.1677838453376121E-2</v>
      </c>
      <c r="E83">
        <v>1.3521507648102771E-3</v>
      </c>
      <c r="F83">
        <v>1.6514994609093201E-2</v>
      </c>
      <c r="G83" t="s">
        <v>36</v>
      </c>
    </row>
    <row r="84" spans="1:7">
      <c r="A84">
        <v>2019</v>
      </c>
      <c r="B84">
        <v>1.627E-2</v>
      </c>
      <c r="C84">
        <v>9.5899999999999996E-3</v>
      </c>
      <c r="D84">
        <v>3.1677838453376121E-2</v>
      </c>
      <c r="E84">
        <v>3.8874334488295452E-3</v>
      </c>
      <c r="F84">
        <v>1.778263595110283E-2</v>
      </c>
      <c r="G84" t="s">
        <v>36</v>
      </c>
    </row>
    <row r="85" spans="1:7">
      <c r="A85">
        <v>2019</v>
      </c>
      <c r="B85">
        <v>1.627E-2</v>
      </c>
      <c r="C85">
        <v>1.1339999999999999E-2</v>
      </c>
      <c r="D85">
        <v>3.1677838453376121E-2</v>
      </c>
      <c r="E85">
        <v>5.7360770725935943E-3</v>
      </c>
      <c r="F85">
        <v>1.8706957762984859E-2</v>
      </c>
      <c r="G85" t="s">
        <v>36</v>
      </c>
    </row>
    <row r="86" spans="1:7">
      <c r="A86">
        <v>2019</v>
      </c>
      <c r="B86">
        <v>6.5390000000000004E-2</v>
      </c>
      <c r="C86">
        <v>0.71097999999999995</v>
      </c>
      <c r="D86">
        <v>0.158803281658428</v>
      </c>
      <c r="E86">
        <v>0.74481323417561052</v>
      </c>
      <c r="F86">
        <v>0.45180825791701928</v>
      </c>
      <c r="G86" t="s">
        <v>34</v>
      </c>
    </row>
    <row r="87" spans="1:7">
      <c r="A87">
        <v>2019</v>
      </c>
      <c r="B87">
        <v>6.5390000000000004E-2</v>
      </c>
      <c r="C87">
        <v>7.7649999999999997E-2</v>
      </c>
      <c r="D87">
        <v>0.158803281658428</v>
      </c>
      <c r="E87">
        <v>7.5783824896475963E-2</v>
      </c>
      <c r="F87">
        <v>0.117293553277452</v>
      </c>
      <c r="G87" t="s">
        <v>36</v>
      </c>
    </row>
    <row r="88" spans="1:7">
      <c r="A88">
        <v>2019</v>
      </c>
      <c r="B88">
        <v>6.5390000000000004E-2</v>
      </c>
      <c r="C88">
        <v>2.0930000000000001E-2</v>
      </c>
      <c r="D88">
        <v>0.158803281658428</v>
      </c>
      <c r="E88">
        <v>1.586664413082059E-2</v>
      </c>
      <c r="F88">
        <v>8.7334962894624293E-2</v>
      </c>
      <c r="G88" t="s">
        <v>36</v>
      </c>
    </row>
    <row r="89" spans="1:7">
      <c r="A89">
        <v>2019</v>
      </c>
      <c r="B89">
        <v>6.5390000000000004E-2</v>
      </c>
      <c r="C89">
        <v>7.1900000000000002E-3</v>
      </c>
      <c r="D89">
        <v>0.158803281658428</v>
      </c>
      <c r="E89">
        <v>1.3521507648102771E-3</v>
      </c>
      <c r="F89">
        <v>8.0077716211619132E-2</v>
      </c>
      <c r="G89" t="s">
        <v>36</v>
      </c>
    </row>
    <row r="90" spans="1:7">
      <c r="A90">
        <v>2019</v>
      </c>
      <c r="B90">
        <v>6.5390000000000004E-2</v>
      </c>
      <c r="C90">
        <v>9.5899999999999996E-3</v>
      </c>
      <c r="D90">
        <v>0.158803281658428</v>
      </c>
      <c r="E90">
        <v>3.8874334488295452E-3</v>
      </c>
      <c r="F90">
        <v>8.1345357553628775E-2</v>
      </c>
      <c r="G90" t="s">
        <v>36</v>
      </c>
    </row>
    <row r="91" spans="1:7">
      <c r="A91">
        <v>2019</v>
      </c>
      <c r="B91">
        <v>6.5390000000000004E-2</v>
      </c>
      <c r="C91">
        <v>1.1339999999999999E-2</v>
      </c>
      <c r="D91">
        <v>0.158803281658428</v>
      </c>
      <c r="E91">
        <v>5.7360770725935943E-3</v>
      </c>
      <c r="F91">
        <v>8.2269679365510801E-2</v>
      </c>
      <c r="G91" t="s">
        <v>36</v>
      </c>
    </row>
    <row r="92" spans="1:7">
      <c r="A92">
        <v>2019</v>
      </c>
      <c r="B92">
        <v>4.0299999999999997E-3</v>
      </c>
      <c r="C92">
        <v>0.71097999999999995</v>
      </c>
      <c r="D92">
        <v>0</v>
      </c>
      <c r="E92">
        <v>0.74481323417561052</v>
      </c>
      <c r="F92">
        <v>0.37240661708780531</v>
      </c>
      <c r="G92" t="s">
        <v>34</v>
      </c>
    </row>
    <row r="93" spans="1:7">
      <c r="A93">
        <v>2019</v>
      </c>
      <c r="B93">
        <v>4.0299999999999997E-3</v>
      </c>
      <c r="C93">
        <v>7.7649999999999997E-2</v>
      </c>
      <c r="D93">
        <v>0</v>
      </c>
      <c r="E93">
        <v>7.5783824896475963E-2</v>
      </c>
      <c r="F93">
        <v>3.7891912448237981E-2</v>
      </c>
      <c r="G93" t="s">
        <v>36</v>
      </c>
    </row>
    <row r="94" spans="1:7">
      <c r="A94">
        <v>2019</v>
      </c>
      <c r="B94">
        <v>4.0299999999999997E-3</v>
      </c>
      <c r="C94">
        <v>2.0930000000000001E-2</v>
      </c>
      <c r="D94">
        <v>0</v>
      </c>
      <c r="E94">
        <v>1.586664413082059E-2</v>
      </c>
      <c r="F94">
        <v>7.9333220654102948E-3</v>
      </c>
      <c r="G94" t="s">
        <v>36</v>
      </c>
    </row>
    <row r="95" spans="1:7">
      <c r="A95">
        <v>2019</v>
      </c>
      <c r="B95">
        <v>4.0299999999999997E-3</v>
      </c>
      <c r="C95">
        <v>7.1900000000000002E-3</v>
      </c>
      <c r="D95">
        <v>0</v>
      </c>
      <c r="E95">
        <v>1.3521507648102771E-3</v>
      </c>
      <c r="F95">
        <v>6.7607538240513831E-4</v>
      </c>
      <c r="G95" t="s">
        <v>36</v>
      </c>
    </row>
    <row r="96" spans="1:7">
      <c r="A96">
        <v>2019</v>
      </c>
      <c r="B96">
        <v>4.0299999999999997E-3</v>
      </c>
      <c r="C96">
        <v>9.5899999999999996E-3</v>
      </c>
      <c r="D96">
        <v>0</v>
      </c>
      <c r="E96">
        <v>3.8874334488295452E-3</v>
      </c>
      <c r="F96">
        <v>1.9437167244147719E-3</v>
      </c>
      <c r="G96" t="s">
        <v>36</v>
      </c>
    </row>
    <row r="97" spans="1:7">
      <c r="A97">
        <v>2019</v>
      </c>
      <c r="B97">
        <v>4.0299999999999997E-3</v>
      </c>
      <c r="C97">
        <v>1.1339999999999999E-2</v>
      </c>
      <c r="D97">
        <v>0</v>
      </c>
      <c r="E97">
        <v>5.7360770725935943E-3</v>
      </c>
      <c r="F97">
        <v>2.8680385362967972E-3</v>
      </c>
      <c r="G97" t="s">
        <v>36</v>
      </c>
    </row>
    <row r="98" spans="1:7">
      <c r="A98">
        <v>2019</v>
      </c>
      <c r="B98">
        <v>1.6719999999999999E-2</v>
      </c>
      <c r="C98">
        <v>0.71097999999999995</v>
      </c>
      <c r="D98">
        <v>3.2842464867103183E-2</v>
      </c>
      <c r="E98">
        <v>0.74481323417561052</v>
      </c>
      <c r="F98">
        <v>0.38882784952135679</v>
      </c>
      <c r="G98" t="s">
        <v>34</v>
      </c>
    </row>
    <row r="99" spans="1:7">
      <c r="A99">
        <v>2019</v>
      </c>
      <c r="B99">
        <v>1.6719999999999999E-2</v>
      </c>
      <c r="C99">
        <v>7.7649999999999997E-2</v>
      </c>
      <c r="D99">
        <v>3.2842464867103183E-2</v>
      </c>
      <c r="E99">
        <v>7.5783824896475963E-2</v>
      </c>
      <c r="F99">
        <v>5.4313144881789573E-2</v>
      </c>
      <c r="G99" t="s">
        <v>36</v>
      </c>
    </row>
    <row r="100" spans="1:7">
      <c r="A100">
        <v>2019</v>
      </c>
      <c r="B100">
        <v>1.6719999999999999E-2</v>
      </c>
      <c r="C100">
        <v>2.0930000000000001E-2</v>
      </c>
      <c r="D100">
        <v>3.2842464867103183E-2</v>
      </c>
      <c r="E100">
        <v>1.586664413082059E-2</v>
      </c>
      <c r="F100">
        <v>2.435455449896189E-2</v>
      </c>
      <c r="G100" t="s">
        <v>36</v>
      </c>
    </row>
    <row r="101" spans="1:7">
      <c r="A101">
        <v>2019</v>
      </c>
      <c r="B101">
        <v>1.6719999999999999E-2</v>
      </c>
      <c r="C101">
        <v>7.1900000000000002E-3</v>
      </c>
      <c r="D101">
        <v>3.2842464867103183E-2</v>
      </c>
      <c r="E101">
        <v>1.3521507648102771E-3</v>
      </c>
      <c r="F101">
        <v>1.7097307815956728E-2</v>
      </c>
      <c r="G101" t="s">
        <v>36</v>
      </c>
    </row>
    <row r="102" spans="1:7">
      <c r="A102">
        <v>2019</v>
      </c>
      <c r="B102">
        <v>1.6719999999999999E-2</v>
      </c>
      <c r="C102">
        <v>9.5899999999999996E-3</v>
      </c>
      <c r="D102">
        <v>3.2842464867103183E-2</v>
      </c>
      <c r="E102">
        <v>3.8874334488295452E-3</v>
      </c>
      <c r="F102">
        <v>1.8364949157966361E-2</v>
      </c>
      <c r="G102" t="s">
        <v>36</v>
      </c>
    </row>
    <row r="103" spans="1:7">
      <c r="A103">
        <v>2019</v>
      </c>
      <c r="B103">
        <v>1.6719999999999999E-2</v>
      </c>
      <c r="C103">
        <v>1.1339999999999999E-2</v>
      </c>
      <c r="D103">
        <v>3.2842464867103183E-2</v>
      </c>
      <c r="E103">
        <v>5.7360770725935943E-3</v>
      </c>
      <c r="F103">
        <v>1.928927096984839E-2</v>
      </c>
      <c r="G103" t="s">
        <v>36</v>
      </c>
    </row>
    <row r="104" spans="1:7">
      <c r="A104">
        <v>2019</v>
      </c>
      <c r="B104">
        <v>7.4599999999999996E-3</v>
      </c>
      <c r="C104">
        <v>0.71097999999999995</v>
      </c>
      <c r="D104">
        <v>8.8770413312973927E-3</v>
      </c>
      <c r="E104">
        <v>0.74481323417561052</v>
      </c>
      <c r="F104">
        <v>0.37684513775345402</v>
      </c>
      <c r="G104" t="s">
        <v>34</v>
      </c>
    </row>
    <row r="105" spans="1:7">
      <c r="A105">
        <v>2019</v>
      </c>
      <c r="B105">
        <v>7.4599999999999996E-3</v>
      </c>
      <c r="C105">
        <v>7.7649999999999997E-2</v>
      </c>
      <c r="D105">
        <v>8.8770413312973927E-3</v>
      </c>
      <c r="E105">
        <v>7.5783824896475963E-2</v>
      </c>
      <c r="F105">
        <v>4.2330433113886679E-2</v>
      </c>
      <c r="G105" t="s">
        <v>36</v>
      </c>
    </row>
    <row r="106" spans="1:7">
      <c r="A106">
        <v>2019</v>
      </c>
      <c r="B106">
        <v>7.4599999999999996E-3</v>
      </c>
      <c r="C106">
        <v>2.0930000000000001E-2</v>
      </c>
      <c r="D106">
        <v>8.8770413312973927E-3</v>
      </c>
      <c r="E106">
        <v>1.586664413082059E-2</v>
      </c>
      <c r="F106">
        <v>1.237184273105899E-2</v>
      </c>
      <c r="G106" t="s">
        <v>36</v>
      </c>
    </row>
    <row r="107" spans="1:7">
      <c r="A107">
        <v>2019</v>
      </c>
      <c r="B107">
        <v>7.4599999999999996E-3</v>
      </c>
      <c r="C107">
        <v>7.1900000000000002E-3</v>
      </c>
      <c r="D107">
        <v>8.8770413312973927E-3</v>
      </c>
      <c r="E107">
        <v>1.3521507648102771E-3</v>
      </c>
      <c r="F107">
        <v>5.1145960480538342E-3</v>
      </c>
      <c r="G107" t="s">
        <v>36</v>
      </c>
    </row>
    <row r="108" spans="1:7">
      <c r="A108">
        <v>2019</v>
      </c>
      <c r="B108">
        <v>7.4599999999999996E-3</v>
      </c>
      <c r="C108">
        <v>9.5899999999999996E-3</v>
      </c>
      <c r="D108">
        <v>8.8770413312973927E-3</v>
      </c>
      <c r="E108">
        <v>3.8874334488295452E-3</v>
      </c>
      <c r="F108">
        <v>6.3822373900634683E-3</v>
      </c>
      <c r="G108" t="s">
        <v>36</v>
      </c>
    </row>
    <row r="109" spans="1:7">
      <c r="A109">
        <v>2019</v>
      </c>
      <c r="B109">
        <v>7.4599999999999996E-3</v>
      </c>
      <c r="C109">
        <v>1.1339999999999999E-2</v>
      </c>
      <c r="D109">
        <v>8.8770413312973927E-3</v>
      </c>
      <c r="E109">
        <v>5.7360770725935943E-3</v>
      </c>
      <c r="F109">
        <v>7.306559201945494E-3</v>
      </c>
      <c r="G109" t="s">
        <v>36</v>
      </c>
    </row>
    <row r="110" spans="1:7">
      <c r="A110">
        <v>2019</v>
      </c>
      <c r="B110">
        <v>3.3140000000000003E-2</v>
      </c>
      <c r="C110">
        <v>0.71097999999999995</v>
      </c>
      <c r="D110">
        <v>7.5338388674655143E-2</v>
      </c>
      <c r="E110">
        <v>0.74481323417561052</v>
      </c>
      <c r="F110">
        <v>0.41007581142513277</v>
      </c>
      <c r="G110" t="s">
        <v>34</v>
      </c>
    </row>
    <row r="111" spans="1:7">
      <c r="A111">
        <v>2019</v>
      </c>
      <c r="B111">
        <v>3.3140000000000003E-2</v>
      </c>
      <c r="C111">
        <v>7.7649999999999997E-2</v>
      </c>
      <c r="D111">
        <v>7.5338388674655143E-2</v>
      </c>
      <c r="E111">
        <v>7.5783824896475963E-2</v>
      </c>
      <c r="F111">
        <v>7.5561106785565546E-2</v>
      </c>
      <c r="G111" t="s">
        <v>36</v>
      </c>
    </row>
    <row r="112" spans="1:7">
      <c r="A112">
        <v>2019</v>
      </c>
      <c r="B112">
        <v>3.3140000000000003E-2</v>
      </c>
      <c r="C112">
        <v>2.0930000000000001E-2</v>
      </c>
      <c r="D112">
        <v>7.5338388674655143E-2</v>
      </c>
      <c r="E112">
        <v>1.586664413082059E-2</v>
      </c>
      <c r="F112">
        <v>4.5602516402737867E-2</v>
      </c>
      <c r="G112" t="s">
        <v>36</v>
      </c>
    </row>
    <row r="113" spans="1:7">
      <c r="A113">
        <v>2019</v>
      </c>
      <c r="B113">
        <v>3.3140000000000003E-2</v>
      </c>
      <c r="C113">
        <v>7.1900000000000002E-3</v>
      </c>
      <c r="D113">
        <v>7.5338388674655143E-2</v>
      </c>
      <c r="E113">
        <v>1.3521507648102771E-3</v>
      </c>
      <c r="F113">
        <v>3.8345269719732712E-2</v>
      </c>
      <c r="G113" t="s">
        <v>36</v>
      </c>
    </row>
    <row r="114" spans="1:7">
      <c r="A114">
        <v>2019</v>
      </c>
      <c r="B114">
        <v>3.3140000000000003E-2</v>
      </c>
      <c r="C114">
        <v>9.5899999999999996E-3</v>
      </c>
      <c r="D114">
        <v>7.5338388674655143E-2</v>
      </c>
      <c r="E114">
        <v>3.8874334488295452E-3</v>
      </c>
      <c r="F114">
        <v>3.9612911061742341E-2</v>
      </c>
      <c r="G114" t="s">
        <v>36</v>
      </c>
    </row>
    <row r="115" spans="1:7">
      <c r="A115">
        <v>2019</v>
      </c>
      <c r="B115">
        <v>3.3140000000000003E-2</v>
      </c>
      <c r="C115">
        <v>1.1339999999999999E-2</v>
      </c>
      <c r="D115">
        <v>7.5338388674655143E-2</v>
      </c>
      <c r="E115">
        <v>5.7360770725935943E-3</v>
      </c>
      <c r="F115">
        <v>4.0537232873624367E-2</v>
      </c>
      <c r="G115" t="s">
        <v>36</v>
      </c>
    </row>
    <row r="116" spans="1:7">
      <c r="A116">
        <v>2019</v>
      </c>
      <c r="B116">
        <v>0.1593</v>
      </c>
      <c r="C116">
        <v>0.71097999999999995</v>
      </c>
      <c r="D116">
        <v>0.40184787390978022</v>
      </c>
      <c r="E116">
        <v>0.74481323417561052</v>
      </c>
      <c r="F116">
        <v>0.5733305540426954</v>
      </c>
      <c r="G116" t="s">
        <v>34</v>
      </c>
    </row>
    <row r="117" spans="1:7">
      <c r="A117">
        <v>2019</v>
      </c>
      <c r="B117">
        <v>0.1593</v>
      </c>
      <c r="C117">
        <v>7.7649999999999997E-2</v>
      </c>
      <c r="D117">
        <v>0.40184787390978022</v>
      </c>
      <c r="E117">
        <v>7.5783824896475963E-2</v>
      </c>
      <c r="F117">
        <v>0.23881584940312811</v>
      </c>
      <c r="G117" t="s">
        <v>34</v>
      </c>
    </row>
    <row r="118" spans="1:7">
      <c r="A118">
        <v>2019</v>
      </c>
      <c r="B118">
        <v>0.1593</v>
      </c>
      <c r="C118">
        <v>2.0930000000000001E-2</v>
      </c>
      <c r="D118">
        <v>0.40184787390978022</v>
      </c>
      <c r="E118">
        <v>1.586664413082059E-2</v>
      </c>
      <c r="F118">
        <v>0.20885725902030039</v>
      </c>
      <c r="G118" t="s">
        <v>34</v>
      </c>
    </row>
    <row r="119" spans="1:7">
      <c r="A119">
        <v>2019</v>
      </c>
      <c r="B119">
        <v>0.1593</v>
      </c>
      <c r="C119">
        <v>7.1900000000000002E-3</v>
      </c>
      <c r="D119">
        <v>0.40184787390978022</v>
      </c>
      <c r="E119">
        <v>1.3521507648102771E-3</v>
      </c>
      <c r="F119">
        <v>0.20160001233729519</v>
      </c>
      <c r="G119" t="s">
        <v>34</v>
      </c>
    </row>
    <row r="120" spans="1:7">
      <c r="A120">
        <v>2019</v>
      </c>
      <c r="B120">
        <v>0.1593</v>
      </c>
      <c r="C120">
        <v>9.5899999999999996E-3</v>
      </c>
      <c r="D120">
        <v>0.40184787390978022</v>
      </c>
      <c r="E120">
        <v>3.8874334488295452E-3</v>
      </c>
      <c r="F120">
        <v>0.2028676536793049</v>
      </c>
      <c r="G120" t="s">
        <v>34</v>
      </c>
    </row>
    <row r="121" spans="1:7">
      <c r="A121">
        <v>2019</v>
      </c>
      <c r="B121">
        <v>0.1593</v>
      </c>
      <c r="C121">
        <v>1.1339999999999999E-2</v>
      </c>
      <c r="D121">
        <v>0.40184787390978022</v>
      </c>
      <c r="E121">
        <v>5.7360770725935943E-3</v>
      </c>
      <c r="F121">
        <v>0.20379197549118691</v>
      </c>
      <c r="G121" t="s">
        <v>34</v>
      </c>
    </row>
    <row r="122" spans="1:7">
      <c r="A122">
        <v>2020</v>
      </c>
      <c r="B122">
        <v>3.2989999999999998E-2</v>
      </c>
      <c r="C122">
        <v>0.87953000000000003</v>
      </c>
      <c r="D122">
        <v>7.4950179870079445E-2</v>
      </c>
      <c r="E122">
        <v>0.92286402433871384</v>
      </c>
      <c r="F122">
        <v>0.49890710210439659</v>
      </c>
      <c r="G122" t="s">
        <v>34</v>
      </c>
    </row>
    <row r="123" spans="1:7">
      <c r="A123">
        <v>2020</v>
      </c>
      <c r="B123">
        <v>3.2989999999999998E-2</v>
      </c>
      <c r="C123">
        <v>8.3239999999999995E-2</v>
      </c>
      <c r="D123">
        <v>7.4950179870079445E-2</v>
      </c>
      <c r="E123">
        <v>8.1688920814670829E-2</v>
      </c>
      <c r="F123">
        <v>7.8319550342375144E-2</v>
      </c>
      <c r="G123" t="s">
        <v>36</v>
      </c>
    </row>
    <row r="124" spans="1:7">
      <c r="A124">
        <v>2020</v>
      </c>
      <c r="B124">
        <v>3.2989999999999998E-2</v>
      </c>
      <c r="C124">
        <v>1.47E-2</v>
      </c>
      <c r="D124">
        <v>7.4950179870079445E-2</v>
      </c>
      <c r="E124">
        <v>9.2854728302205689E-3</v>
      </c>
      <c r="F124">
        <v>4.2117826350150003E-2</v>
      </c>
      <c r="G124" t="s">
        <v>36</v>
      </c>
    </row>
    <row r="125" spans="1:7">
      <c r="A125">
        <v>2020</v>
      </c>
      <c r="B125">
        <v>3.2989999999999998E-2</v>
      </c>
      <c r="C125">
        <v>5.9100000000000003E-3</v>
      </c>
      <c r="D125">
        <v>7.4950179870079445E-2</v>
      </c>
      <c r="E125">
        <v>0</v>
      </c>
      <c r="F125">
        <v>3.7475089935039722E-2</v>
      </c>
      <c r="G125" t="s">
        <v>36</v>
      </c>
    </row>
    <row r="126" spans="1:7">
      <c r="A126">
        <v>2020</v>
      </c>
      <c r="B126">
        <v>3.2989999999999998E-2</v>
      </c>
      <c r="C126">
        <v>6.2300000000000003E-3</v>
      </c>
      <c r="D126">
        <v>7.4950179870079445E-2</v>
      </c>
      <c r="E126">
        <v>3.3803769120256943E-4</v>
      </c>
      <c r="F126">
        <v>3.7644108780641013E-2</v>
      </c>
      <c r="G126" t="s">
        <v>36</v>
      </c>
    </row>
    <row r="127" spans="1:7">
      <c r="A127">
        <v>2020</v>
      </c>
      <c r="B127">
        <v>3.2989999999999998E-2</v>
      </c>
      <c r="C127">
        <v>1.039E-2</v>
      </c>
      <c r="D127">
        <v>7.4950179870079445E-2</v>
      </c>
      <c r="E127">
        <v>4.7325276768359669E-3</v>
      </c>
      <c r="F127">
        <v>3.9841353773457697E-2</v>
      </c>
      <c r="G127" t="s">
        <v>36</v>
      </c>
    </row>
    <row r="128" spans="1:7">
      <c r="A128">
        <v>2020</v>
      </c>
      <c r="B128">
        <v>0.31651000000000001</v>
      </c>
      <c r="C128">
        <v>0.87953000000000003</v>
      </c>
      <c r="D128">
        <v>0.80871658169207272</v>
      </c>
      <c r="E128">
        <v>0.92286402433871384</v>
      </c>
      <c r="F128">
        <v>0.86579030301539328</v>
      </c>
      <c r="G128" t="s">
        <v>44</v>
      </c>
    </row>
    <row r="129" spans="1:7">
      <c r="A129">
        <v>2020</v>
      </c>
      <c r="B129">
        <v>0.31651000000000001</v>
      </c>
      <c r="C129">
        <v>8.3239999999999995E-2</v>
      </c>
      <c r="D129">
        <v>0.80871658169207272</v>
      </c>
      <c r="E129">
        <v>8.1688920814670829E-2</v>
      </c>
      <c r="F129">
        <v>0.44520275125337178</v>
      </c>
      <c r="G129" t="s">
        <v>34</v>
      </c>
    </row>
    <row r="130" spans="1:7">
      <c r="A130">
        <v>2020</v>
      </c>
      <c r="B130">
        <v>0.31651000000000001</v>
      </c>
      <c r="C130">
        <v>1.47E-2</v>
      </c>
      <c r="D130">
        <v>0.80871658169207272</v>
      </c>
      <c r="E130">
        <v>9.2854728302205689E-3</v>
      </c>
      <c r="F130">
        <v>0.40900102726114662</v>
      </c>
      <c r="G130" t="s">
        <v>34</v>
      </c>
    </row>
    <row r="131" spans="1:7">
      <c r="A131">
        <v>2020</v>
      </c>
      <c r="B131">
        <v>0.31651000000000001</v>
      </c>
      <c r="C131">
        <v>5.9100000000000003E-3</v>
      </c>
      <c r="D131">
        <v>0.80871658169207272</v>
      </c>
      <c r="E131">
        <v>0</v>
      </c>
      <c r="F131">
        <v>0.40435829084603642</v>
      </c>
      <c r="G131" t="s">
        <v>34</v>
      </c>
    </row>
    <row r="132" spans="1:7">
      <c r="A132">
        <v>2020</v>
      </c>
      <c r="B132">
        <v>0.31651000000000001</v>
      </c>
      <c r="C132">
        <v>6.2300000000000003E-3</v>
      </c>
      <c r="D132">
        <v>0.80871658169207272</v>
      </c>
      <c r="E132">
        <v>3.3803769120256943E-4</v>
      </c>
      <c r="F132">
        <v>0.40452730969163758</v>
      </c>
      <c r="G132" t="s">
        <v>34</v>
      </c>
    </row>
    <row r="133" spans="1:7">
      <c r="A133">
        <v>2020</v>
      </c>
      <c r="B133">
        <v>0.31651000000000001</v>
      </c>
      <c r="C133">
        <v>1.039E-2</v>
      </c>
      <c r="D133">
        <v>0.80871658169207272</v>
      </c>
      <c r="E133">
        <v>4.7325276768359669E-3</v>
      </c>
      <c r="F133">
        <v>0.40672455468445429</v>
      </c>
      <c r="G133" t="s">
        <v>34</v>
      </c>
    </row>
    <row r="134" spans="1:7">
      <c r="A134">
        <v>2020</v>
      </c>
      <c r="B134">
        <v>0.34159</v>
      </c>
      <c r="C134">
        <v>0.87953000000000003</v>
      </c>
      <c r="D134">
        <v>0.87362509381712772</v>
      </c>
      <c r="E134">
        <v>0.92286402433871384</v>
      </c>
      <c r="F134">
        <v>0.89824455907792078</v>
      </c>
      <c r="G134" t="s">
        <v>44</v>
      </c>
    </row>
    <row r="135" spans="1:7">
      <c r="A135">
        <v>2020</v>
      </c>
      <c r="B135">
        <v>0.34159</v>
      </c>
      <c r="C135">
        <v>8.3239999999999995E-2</v>
      </c>
      <c r="D135">
        <v>0.87362509381712772</v>
      </c>
      <c r="E135">
        <v>8.1688920814670829E-2</v>
      </c>
      <c r="F135">
        <v>0.47765700731589927</v>
      </c>
      <c r="G135" t="s">
        <v>34</v>
      </c>
    </row>
    <row r="136" spans="1:7">
      <c r="A136">
        <v>2020</v>
      </c>
      <c r="B136">
        <v>0.34159</v>
      </c>
      <c r="C136">
        <v>1.47E-2</v>
      </c>
      <c r="D136">
        <v>0.87362509381712772</v>
      </c>
      <c r="E136">
        <v>9.2854728302205689E-3</v>
      </c>
      <c r="F136">
        <v>0.44145528332367412</v>
      </c>
      <c r="G136" t="s">
        <v>34</v>
      </c>
    </row>
    <row r="137" spans="1:7">
      <c r="A137">
        <v>2020</v>
      </c>
      <c r="B137">
        <v>0.34159</v>
      </c>
      <c r="C137">
        <v>5.9100000000000003E-3</v>
      </c>
      <c r="D137">
        <v>0.87362509381712772</v>
      </c>
      <c r="E137">
        <v>0</v>
      </c>
      <c r="F137">
        <v>0.43681254690856391</v>
      </c>
      <c r="G137" t="s">
        <v>34</v>
      </c>
    </row>
    <row r="138" spans="1:7">
      <c r="A138">
        <v>2020</v>
      </c>
      <c r="B138">
        <v>0.34159</v>
      </c>
      <c r="C138">
        <v>6.2300000000000003E-3</v>
      </c>
      <c r="D138">
        <v>0.87362509381712772</v>
      </c>
      <c r="E138">
        <v>3.3803769120256943E-4</v>
      </c>
      <c r="F138">
        <v>0.43698156575416508</v>
      </c>
      <c r="G138" t="s">
        <v>34</v>
      </c>
    </row>
    <row r="139" spans="1:7">
      <c r="A139">
        <v>2020</v>
      </c>
      <c r="B139">
        <v>0.34159</v>
      </c>
      <c r="C139">
        <v>1.039E-2</v>
      </c>
      <c r="D139">
        <v>0.87362509381712772</v>
      </c>
      <c r="E139">
        <v>4.7325276768359669E-3</v>
      </c>
      <c r="F139">
        <v>0.43917881074698178</v>
      </c>
      <c r="G139" t="s">
        <v>34</v>
      </c>
    </row>
    <row r="140" spans="1:7">
      <c r="A140">
        <v>2020</v>
      </c>
      <c r="B140">
        <v>1.8360000000000001E-2</v>
      </c>
      <c r="C140">
        <v>0.87953000000000003</v>
      </c>
      <c r="D140">
        <v>3.7086881130464038E-2</v>
      </c>
      <c r="E140">
        <v>0.92286402433871384</v>
      </c>
      <c r="F140">
        <v>0.47997545273458903</v>
      </c>
      <c r="G140" t="s">
        <v>34</v>
      </c>
    </row>
    <row r="141" spans="1:7">
      <c r="A141">
        <v>2020</v>
      </c>
      <c r="B141">
        <v>1.8360000000000001E-2</v>
      </c>
      <c r="C141">
        <v>8.3239999999999995E-2</v>
      </c>
      <c r="D141">
        <v>3.7086881130464038E-2</v>
      </c>
      <c r="E141">
        <v>8.1688920814670829E-2</v>
      </c>
      <c r="F141">
        <v>5.9387900972567437E-2</v>
      </c>
      <c r="G141" t="s">
        <v>36</v>
      </c>
    </row>
    <row r="142" spans="1:7">
      <c r="A142">
        <v>2020</v>
      </c>
      <c r="B142">
        <v>1.8360000000000001E-2</v>
      </c>
      <c r="C142">
        <v>1.47E-2</v>
      </c>
      <c r="D142">
        <v>3.7086881130464038E-2</v>
      </c>
      <c r="E142">
        <v>9.2854728302205689E-3</v>
      </c>
      <c r="F142">
        <v>2.318617698034231E-2</v>
      </c>
      <c r="G142" t="s">
        <v>36</v>
      </c>
    </row>
    <row r="143" spans="1:7">
      <c r="A143">
        <v>2020</v>
      </c>
      <c r="B143">
        <v>1.8360000000000001E-2</v>
      </c>
      <c r="C143">
        <v>5.9100000000000003E-3</v>
      </c>
      <c r="D143">
        <v>3.7086881130464038E-2</v>
      </c>
      <c r="E143">
        <v>0</v>
      </c>
      <c r="F143">
        <v>1.8543440565232019E-2</v>
      </c>
      <c r="G143" t="s">
        <v>36</v>
      </c>
    </row>
    <row r="144" spans="1:7">
      <c r="A144">
        <v>2020</v>
      </c>
      <c r="B144">
        <v>1.8360000000000001E-2</v>
      </c>
      <c r="C144">
        <v>6.2300000000000003E-3</v>
      </c>
      <c r="D144">
        <v>3.7086881130464038E-2</v>
      </c>
      <c r="E144">
        <v>3.3803769120256943E-4</v>
      </c>
      <c r="F144">
        <v>1.8712459410833309E-2</v>
      </c>
      <c r="G144" t="s">
        <v>36</v>
      </c>
    </row>
    <row r="145" spans="1:7">
      <c r="A145">
        <v>2020</v>
      </c>
      <c r="B145">
        <v>1.8360000000000001E-2</v>
      </c>
      <c r="C145">
        <v>1.039E-2</v>
      </c>
      <c r="D145">
        <v>3.7086881130464038E-2</v>
      </c>
      <c r="E145">
        <v>4.7325276768359669E-3</v>
      </c>
      <c r="F145">
        <v>2.090970440365001E-2</v>
      </c>
      <c r="G145" t="s">
        <v>36</v>
      </c>
    </row>
    <row r="146" spans="1:7">
      <c r="A146">
        <v>2020</v>
      </c>
      <c r="B146">
        <v>8.7940000000000004E-2</v>
      </c>
      <c r="C146">
        <v>0.87953000000000003</v>
      </c>
      <c r="D146">
        <v>0.21716400527963969</v>
      </c>
      <c r="E146">
        <v>0.92286402433871384</v>
      </c>
      <c r="F146">
        <v>0.57001401480917679</v>
      </c>
      <c r="G146" t="s">
        <v>34</v>
      </c>
    </row>
    <row r="147" spans="1:7">
      <c r="A147">
        <v>2020</v>
      </c>
      <c r="B147">
        <v>8.7940000000000004E-2</v>
      </c>
      <c r="C147">
        <v>8.3239999999999995E-2</v>
      </c>
      <c r="D147">
        <v>0.21716400527963969</v>
      </c>
      <c r="E147">
        <v>8.1688920814670829E-2</v>
      </c>
      <c r="F147">
        <v>0.14942646304715529</v>
      </c>
      <c r="G147" t="s">
        <v>36</v>
      </c>
    </row>
    <row r="148" spans="1:7">
      <c r="A148">
        <v>2020</v>
      </c>
      <c r="B148">
        <v>8.7940000000000004E-2</v>
      </c>
      <c r="C148">
        <v>1.47E-2</v>
      </c>
      <c r="D148">
        <v>0.21716400527963969</v>
      </c>
      <c r="E148">
        <v>9.2854728302205689E-3</v>
      </c>
      <c r="F148">
        <v>0.11322473905493011</v>
      </c>
      <c r="G148" t="s">
        <v>36</v>
      </c>
    </row>
    <row r="149" spans="1:7">
      <c r="A149">
        <v>2020</v>
      </c>
      <c r="B149">
        <v>8.7940000000000004E-2</v>
      </c>
      <c r="C149">
        <v>5.9100000000000003E-3</v>
      </c>
      <c r="D149">
        <v>0.21716400527963969</v>
      </c>
      <c r="E149">
        <v>0</v>
      </c>
      <c r="F149">
        <v>0.1085820026398199</v>
      </c>
      <c r="G149" t="s">
        <v>36</v>
      </c>
    </row>
    <row r="150" spans="1:7">
      <c r="A150">
        <v>2020</v>
      </c>
      <c r="B150">
        <v>8.7940000000000004E-2</v>
      </c>
      <c r="C150">
        <v>6.2300000000000003E-3</v>
      </c>
      <c r="D150">
        <v>0.21716400527963969</v>
      </c>
      <c r="E150">
        <v>3.3803769120256943E-4</v>
      </c>
      <c r="F150">
        <v>0.10875102148542121</v>
      </c>
      <c r="G150" t="s">
        <v>36</v>
      </c>
    </row>
    <row r="151" spans="1:7">
      <c r="A151">
        <v>2020</v>
      </c>
      <c r="B151">
        <v>8.7940000000000004E-2</v>
      </c>
      <c r="C151">
        <v>1.039E-2</v>
      </c>
      <c r="D151">
        <v>0.21716400527963969</v>
      </c>
      <c r="E151">
        <v>4.7325276768359669E-3</v>
      </c>
      <c r="F151">
        <v>0.1109482664782378</v>
      </c>
      <c r="G151" t="s">
        <v>36</v>
      </c>
    </row>
    <row r="152" spans="1:7">
      <c r="A152">
        <v>2020</v>
      </c>
      <c r="B152">
        <v>4.1799999999999997E-3</v>
      </c>
      <c r="C152">
        <v>0.87953000000000003</v>
      </c>
      <c r="D152">
        <v>3.8820880457568832E-4</v>
      </c>
      <c r="E152">
        <v>0.92286402433871384</v>
      </c>
      <c r="F152">
        <v>0.46162611657164482</v>
      </c>
      <c r="G152" t="s">
        <v>34</v>
      </c>
    </row>
    <row r="153" spans="1:7">
      <c r="A153">
        <v>2020</v>
      </c>
      <c r="B153">
        <v>4.1799999999999997E-3</v>
      </c>
      <c r="C153">
        <v>8.3239999999999995E-2</v>
      </c>
      <c r="D153">
        <v>3.8820880457568832E-4</v>
      </c>
      <c r="E153">
        <v>8.1688920814670829E-2</v>
      </c>
      <c r="F153">
        <v>4.1038564809623257E-2</v>
      </c>
      <c r="G153" t="s">
        <v>36</v>
      </c>
    </row>
    <row r="154" spans="1:7">
      <c r="A154">
        <v>2020</v>
      </c>
      <c r="B154">
        <v>4.1799999999999997E-3</v>
      </c>
      <c r="C154">
        <v>1.47E-2</v>
      </c>
      <c r="D154">
        <v>3.8820880457568832E-4</v>
      </c>
      <c r="E154">
        <v>9.2854728302205689E-3</v>
      </c>
      <c r="F154">
        <v>4.8368408173981286E-3</v>
      </c>
      <c r="G154" t="s">
        <v>36</v>
      </c>
    </row>
    <row r="155" spans="1:7">
      <c r="A155">
        <v>2020</v>
      </c>
      <c r="B155">
        <v>4.1799999999999997E-3</v>
      </c>
      <c r="C155">
        <v>5.9100000000000003E-3</v>
      </c>
      <c r="D155">
        <v>3.8820880457568832E-4</v>
      </c>
      <c r="E155">
        <v>0</v>
      </c>
      <c r="F155">
        <v>1.9410440228784419E-4</v>
      </c>
      <c r="G155" t="s">
        <v>36</v>
      </c>
    </row>
    <row r="156" spans="1:7">
      <c r="A156">
        <v>2020</v>
      </c>
      <c r="B156">
        <v>4.1799999999999997E-3</v>
      </c>
      <c r="C156">
        <v>6.2300000000000003E-3</v>
      </c>
      <c r="D156">
        <v>3.8820880457568832E-4</v>
      </c>
      <c r="E156">
        <v>3.3803769120256943E-4</v>
      </c>
      <c r="F156">
        <v>3.6312324788912879E-4</v>
      </c>
      <c r="G156" t="s">
        <v>36</v>
      </c>
    </row>
    <row r="157" spans="1:7">
      <c r="A157">
        <v>2020</v>
      </c>
      <c r="B157">
        <v>4.1799999999999997E-3</v>
      </c>
      <c r="C157">
        <v>1.039E-2</v>
      </c>
      <c r="D157">
        <v>3.8820880457568832E-4</v>
      </c>
      <c r="E157">
        <v>4.7325276768359669E-3</v>
      </c>
      <c r="F157">
        <v>2.560368240705828E-3</v>
      </c>
      <c r="G157" t="s">
        <v>36</v>
      </c>
    </row>
    <row r="158" spans="1:7">
      <c r="A158">
        <v>2020</v>
      </c>
      <c r="B158">
        <v>2.5080000000000002E-2</v>
      </c>
      <c r="C158">
        <v>0.87953000000000003</v>
      </c>
      <c r="D158">
        <v>5.4478635575454848E-2</v>
      </c>
      <c r="E158">
        <v>0.92286402433871384</v>
      </c>
      <c r="F158">
        <v>0.48867132995708429</v>
      </c>
      <c r="G158" t="s">
        <v>34</v>
      </c>
    </row>
    <row r="159" spans="1:7">
      <c r="A159">
        <v>2020</v>
      </c>
      <c r="B159">
        <v>2.5080000000000002E-2</v>
      </c>
      <c r="C159">
        <v>8.3239999999999995E-2</v>
      </c>
      <c r="D159">
        <v>5.4478635575454848E-2</v>
      </c>
      <c r="E159">
        <v>8.1688920814670829E-2</v>
      </c>
      <c r="F159">
        <v>6.8083778195062838E-2</v>
      </c>
      <c r="G159" t="s">
        <v>36</v>
      </c>
    </row>
    <row r="160" spans="1:7">
      <c r="A160">
        <v>2020</v>
      </c>
      <c r="B160">
        <v>2.5080000000000002E-2</v>
      </c>
      <c r="C160">
        <v>1.47E-2</v>
      </c>
      <c r="D160">
        <v>5.4478635575454848E-2</v>
      </c>
      <c r="E160">
        <v>9.2854728302205689E-3</v>
      </c>
      <c r="F160">
        <v>3.1882054202837712E-2</v>
      </c>
      <c r="G160" t="s">
        <v>36</v>
      </c>
    </row>
    <row r="161" spans="1:7">
      <c r="A161">
        <v>2020</v>
      </c>
      <c r="B161">
        <v>2.5080000000000002E-2</v>
      </c>
      <c r="C161">
        <v>5.9100000000000003E-3</v>
      </c>
      <c r="D161">
        <v>5.4478635575454848E-2</v>
      </c>
      <c r="E161">
        <v>0</v>
      </c>
      <c r="F161">
        <v>2.7239317787727431E-2</v>
      </c>
      <c r="G161" t="s">
        <v>36</v>
      </c>
    </row>
    <row r="162" spans="1:7">
      <c r="A162">
        <v>2020</v>
      </c>
      <c r="B162">
        <v>2.5080000000000002E-2</v>
      </c>
      <c r="C162">
        <v>6.2300000000000003E-3</v>
      </c>
      <c r="D162">
        <v>5.4478635575454848E-2</v>
      </c>
      <c r="E162">
        <v>3.3803769120256943E-4</v>
      </c>
      <c r="F162">
        <v>2.7408336633328711E-2</v>
      </c>
      <c r="G162" t="s">
        <v>36</v>
      </c>
    </row>
    <row r="163" spans="1:7">
      <c r="A163">
        <v>2020</v>
      </c>
      <c r="B163">
        <v>2.5080000000000002E-2</v>
      </c>
      <c r="C163">
        <v>1.039E-2</v>
      </c>
      <c r="D163">
        <v>5.4478635575454848E-2</v>
      </c>
      <c r="E163">
        <v>4.7325276768359669E-3</v>
      </c>
      <c r="F163">
        <v>2.9605581626145409E-2</v>
      </c>
      <c r="G163" t="s">
        <v>36</v>
      </c>
    </row>
    <row r="164" spans="1:7">
      <c r="A164">
        <v>2020</v>
      </c>
      <c r="B164">
        <v>9.5600000000000008E-3</v>
      </c>
      <c r="C164">
        <v>0.87953000000000003</v>
      </c>
      <c r="D164">
        <v>1.4311964595357029E-2</v>
      </c>
      <c r="E164">
        <v>0.92286402433871384</v>
      </c>
      <c r="F164">
        <v>0.46858799446703542</v>
      </c>
      <c r="G164" t="s">
        <v>34</v>
      </c>
    </row>
    <row r="165" spans="1:7">
      <c r="A165">
        <v>2020</v>
      </c>
      <c r="B165">
        <v>9.5600000000000008E-3</v>
      </c>
      <c r="C165">
        <v>8.3239999999999995E-2</v>
      </c>
      <c r="D165">
        <v>1.4311964595357029E-2</v>
      </c>
      <c r="E165">
        <v>8.1688920814670829E-2</v>
      </c>
      <c r="F165">
        <v>4.8000442705013933E-2</v>
      </c>
      <c r="G165" t="s">
        <v>36</v>
      </c>
    </row>
    <row r="166" spans="1:7">
      <c r="A166">
        <v>2020</v>
      </c>
      <c r="B166">
        <v>9.5600000000000008E-3</v>
      </c>
      <c r="C166">
        <v>1.47E-2</v>
      </c>
      <c r="D166">
        <v>1.4311964595357029E-2</v>
      </c>
      <c r="E166">
        <v>9.2854728302205689E-3</v>
      </c>
      <c r="F166">
        <v>1.17987187127888E-2</v>
      </c>
      <c r="G166" t="s">
        <v>36</v>
      </c>
    </row>
    <row r="167" spans="1:7">
      <c r="A167">
        <v>2020</v>
      </c>
      <c r="B167">
        <v>9.5600000000000008E-3</v>
      </c>
      <c r="C167">
        <v>5.9100000000000003E-3</v>
      </c>
      <c r="D167">
        <v>1.4311964595357029E-2</v>
      </c>
      <c r="E167">
        <v>0</v>
      </c>
      <c r="F167">
        <v>7.1559822976785129E-3</v>
      </c>
      <c r="G167" t="s">
        <v>36</v>
      </c>
    </row>
    <row r="168" spans="1:7">
      <c r="A168">
        <v>2020</v>
      </c>
      <c r="B168">
        <v>9.5600000000000008E-3</v>
      </c>
      <c r="C168">
        <v>6.2300000000000003E-3</v>
      </c>
      <c r="D168">
        <v>1.4311964595357029E-2</v>
      </c>
      <c r="E168">
        <v>3.3803769120256943E-4</v>
      </c>
      <c r="F168">
        <v>7.3250011432797971E-3</v>
      </c>
      <c r="G168" t="s">
        <v>36</v>
      </c>
    </row>
    <row r="169" spans="1:7">
      <c r="A169">
        <v>2020</v>
      </c>
      <c r="B169">
        <v>9.5600000000000008E-3</v>
      </c>
      <c r="C169">
        <v>1.039E-2</v>
      </c>
      <c r="D169">
        <v>1.4311964595357029E-2</v>
      </c>
      <c r="E169">
        <v>4.7325276768359669E-3</v>
      </c>
      <c r="F169">
        <v>9.5222461360964968E-3</v>
      </c>
      <c r="G169" t="s">
        <v>36</v>
      </c>
    </row>
    <row r="170" spans="1:7">
      <c r="A170">
        <v>2020</v>
      </c>
      <c r="B170">
        <v>3.329E-2</v>
      </c>
      <c r="C170">
        <v>0.87953000000000003</v>
      </c>
      <c r="D170">
        <v>7.5726597479230814E-2</v>
      </c>
      <c r="E170">
        <v>0.92286402433871384</v>
      </c>
      <c r="F170">
        <v>0.49929531090897228</v>
      </c>
      <c r="G170" t="s">
        <v>34</v>
      </c>
    </row>
    <row r="171" spans="1:7">
      <c r="A171">
        <v>2020</v>
      </c>
      <c r="B171">
        <v>3.329E-2</v>
      </c>
      <c r="C171">
        <v>8.3239999999999995E-2</v>
      </c>
      <c r="D171">
        <v>7.5726597479230814E-2</v>
      </c>
      <c r="E171">
        <v>8.1688920814670829E-2</v>
      </c>
      <c r="F171">
        <v>7.8707759146950829E-2</v>
      </c>
      <c r="G171" t="s">
        <v>36</v>
      </c>
    </row>
    <row r="172" spans="1:7">
      <c r="A172">
        <v>2020</v>
      </c>
      <c r="B172">
        <v>3.329E-2</v>
      </c>
      <c r="C172">
        <v>1.47E-2</v>
      </c>
      <c r="D172">
        <v>7.5726597479230814E-2</v>
      </c>
      <c r="E172">
        <v>9.2854728302205689E-3</v>
      </c>
      <c r="F172">
        <v>4.2506035154725688E-2</v>
      </c>
      <c r="G172" t="s">
        <v>36</v>
      </c>
    </row>
    <row r="173" spans="1:7">
      <c r="A173">
        <v>2020</v>
      </c>
      <c r="B173">
        <v>3.329E-2</v>
      </c>
      <c r="C173">
        <v>5.9100000000000003E-3</v>
      </c>
      <c r="D173">
        <v>7.5726597479230814E-2</v>
      </c>
      <c r="E173">
        <v>0</v>
      </c>
      <c r="F173">
        <v>3.7863298739615407E-2</v>
      </c>
      <c r="G173" t="s">
        <v>36</v>
      </c>
    </row>
    <row r="174" spans="1:7">
      <c r="A174">
        <v>2020</v>
      </c>
      <c r="B174">
        <v>3.329E-2</v>
      </c>
      <c r="C174">
        <v>6.2300000000000003E-3</v>
      </c>
      <c r="D174">
        <v>7.5726597479230814E-2</v>
      </c>
      <c r="E174">
        <v>3.3803769120256943E-4</v>
      </c>
      <c r="F174">
        <v>3.8032317585216691E-2</v>
      </c>
      <c r="G174" t="s">
        <v>36</v>
      </c>
    </row>
    <row r="175" spans="1:7">
      <c r="A175">
        <v>2020</v>
      </c>
      <c r="B175">
        <v>3.329E-2</v>
      </c>
      <c r="C175">
        <v>1.039E-2</v>
      </c>
      <c r="D175">
        <v>7.5726597479230814E-2</v>
      </c>
      <c r="E175">
        <v>4.7325276768359669E-3</v>
      </c>
      <c r="F175">
        <v>4.0229562578033388E-2</v>
      </c>
      <c r="G175" t="s">
        <v>36</v>
      </c>
    </row>
    <row r="176" spans="1:7">
      <c r="A176">
        <v>2020</v>
      </c>
      <c r="B176">
        <v>0.13048999999999999</v>
      </c>
      <c r="C176">
        <v>0.87953000000000003</v>
      </c>
      <c r="D176">
        <v>0.32728590284427639</v>
      </c>
      <c r="E176">
        <v>0.92286402433871384</v>
      </c>
      <c r="F176">
        <v>0.62507496359149517</v>
      </c>
      <c r="G176" t="s">
        <v>44</v>
      </c>
    </row>
    <row r="177" spans="1:7">
      <c r="A177">
        <v>2020</v>
      </c>
      <c r="B177">
        <v>0.13048999999999999</v>
      </c>
      <c r="C177">
        <v>8.3239999999999995E-2</v>
      </c>
      <c r="D177">
        <v>0.32728590284427639</v>
      </c>
      <c r="E177">
        <v>8.1688920814670829E-2</v>
      </c>
      <c r="F177">
        <v>0.20448741182947361</v>
      </c>
      <c r="G177" t="s">
        <v>34</v>
      </c>
    </row>
    <row r="178" spans="1:7">
      <c r="A178">
        <v>2020</v>
      </c>
      <c r="B178">
        <v>0.13048999999999999</v>
      </c>
      <c r="C178">
        <v>1.47E-2</v>
      </c>
      <c r="D178">
        <v>0.32728590284427639</v>
      </c>
      <c r="E178">
        <v>9.2854728302205689E-3</v>
      </c>
      <c r="F178">
        <v>0.16828568783724851</v>
      </c>
      <c r="G178" t="s">
        <v>36</v>
      </c>
    </row>
    <row r="179" spans="1:7">
      <c r="A179">
        <v>2020</v>
      </c>
      <c r="B179">
        <v>0.13048999999999999</v>
      </c>
      <c r="C179">
        <v>5.9100000000000003E-3</v>
      </c>
      <c r="D179">
        <v>0.32728590284427639</v>
      </c>
      <c r="E179">
        <v>0</v>
      </c>
      <c r="F179">
        <v>0.16364295142213819</v>
      </c>
      <c r="G179" t="s">
        <v>36</v>
      </c>
    </row>
    <row r="180" spans="1:7">
      <c r="A180">
        <v>2020</v>
      </c>
      <c r="B180">
        <v>0.13048999999999999</v>
      </c>
      <c r="C180">
        <v>6.2300000000000003E-3</v>
      </c>
      <c r="D180">
        <v>0.32728590284427639</v>
      </c>
      <c r="E180">
        <v>3.3803769120256943E-4</v>
      </c>
      <c r="F180">
        <v>0.1638119702677395</v>
      </c>
      <c r="G180" t="s">
        <v>36</v>
      </c>
    </row>
    <row r="181" spans="1:7">
      <c r="A181">
        <v>2020</v>
      </c>
      <c r="B181">
        <v>0.13048999999999999</v>
      </c>
      <c r="C181">
        <v>1.039E-2</v>
      </c>
      <c r="D181">
        <v>0.32728590284427639</v>
      </c>
      <c r="E181">
        <v>4.7325276768359669E-3</v>
      </c>
      <c r="F181">
        <v>0.1660092152605562</v>
      </c>
      <c r="G181" t="s">
        <v>36</v>
      </c>
    </row>
    <row r="182" spans="1:7">
      <c r="A182">
        <v>2021</v>
      </c>
      <c r="B182">
        <v>3.0460000000000001E-2</v>
      </c>
      <c r="C182">
        <v>0.95255000000000001</v>
      </c>
      <c r="D182">
        <v>6.8402391366236173E-2</v>
      </c>
      <c r="E182">
        <v>1</v>
      </c>
      <c r="F182">
        <v>0.53420119568311808</v>
      </c>
      <c r="G182" t="s">
        <v>34</v>
      </c>
    </row>
    <row r="183" spans="1:7">
      <c r="A183">
        <v>2021</v>
      </c>
      <c r="B183">
        <v>3.0460000000000001E-2</v>
      </c>
      <c r="C183">
        <v>8.5639999999999994E-2</v>
      </c>
      <c r="D183">
        <v>6.8402391366236173E-2</v>
      </c>
      <c r="E183">
        <v>8.4224203498690101E-2</v>
      </c>
      <c r="F183">
        <v>7.6313297432463137E-2</v>
      </c>
      <c r="G183" t="s">
        <v>36</v>
      </c>
    </row>
    <row r="184" spans="1:7">
      <c r="A184">
        <v>2021</v>
      </c>
      <c r="B184">
        <v>3.0460000000000001E-2</v>
      </c>
      <c r="C184">
        <v>1.3899999999999999E-2</v>
      </c>
      <c r="D184">
        <v>6.8402391366236173E-2</v>
      </c>
      <c r="E184">
        <v>8.440378602214145E-3</v>
      </c>
      <c r="F184">
        <v>3.8421384984225163E-2</v>
      </c>
      <c r="G184" t="s">
        <v>36</v>
      </c>
    </row>
    <row r="185" spans="1:7">
      <c r="A185">
        <v>2021</v>
      </c>
      <c r="B185">
        <v>3.0460000000000001E-2</v>
      </c>
      <c r="C185">
        <v>9.9100000000000004E-3</v>
      </c>
      <c r="D185">
        <v>6.8402391366236173E-2</v>
      </c>
      <c r="E185">
        <v>4.2254711400321133E-3</v>
      </c>
      <c r="F185">
        <v>3.6313931253134153E-2</v>
      </c>
      <c r="G185" t="s">
        <v>36</v>
      </c>
    </row>
    <row r="186" spans="1:7">
      <c r="A186">
        <v>2021</v>
      </c>
      <c r="B186">
        <v>3.0460000000000001E-2</v>
      </c>
      <c r="C186">
        <v>8.6300000000000005E-3</v>
      </c>
      <c r="D186">
        <v>6.8402391366236173E-2</v>
      </c>
      <c r="E186">
        <v>2.8733203752218371E-3</v>
      </c>
      <c r="F186">
        <v>3.5637855870729013E-2</v>
      </c>
      <c r="G186" t="s">
        <v>36</v>
      </c>
    </row>
    <row r="187" spans="1:7">
      <c r="A187">
        <v>2021</v>
      </c>
      <c r="B187">
        <v>3.0460000000000001E-2</v>
      </c>
      <c r="C187">
        <v>1.166E-2</v>
      </c>
      <c r="D187">
        <v>6.8402391366236173E-2</v>
      </c>
      <c r="E187">
        <v>6.0741147637961629E-3</v>
      </c>
      <c r="F187">
        <v>3.7238253065016158E-2</v>
      </c>
      <c r="G187" t="s">
        <v>36</v>
      </c>
    </row>
    <row r="188" spans="1:7">
      <c r="A188">
        <v>2021</v>
      </c>
      <c r="B188">
        <v>0.36653000000000002</v>
      </c>
      <c r="C188">
        <v>0.95255000000000001</v>
      </c>
      <c r="D188">
        <v>0.93817127772457876</v>
      </c>
      <c r="E188">
        <v>1</v>
      </c>
      <c r="F188">
        <v>0.96908563886228938</v>
      </c>
      <c r="G188" t="s">
        <v>44</v>
      </c>
    </row>
    <row r="189" spans="1:7">
      <c r="A189">
        <v>2021</v>
      </c>
      <c r="B189">
        <v>0.36653000000000002</v>
      </c>
      <c r="C189">
        <v>8.5639999999999994E-2</v>
      </c>
      <c r="D189">
        <v>0.93817127772457876</v>
      </c>
      <c r="E189">
        <v>8.4224203498690101E-2</v>
      </c>
      <c r="F189">
        <v>0.51119774061163448</v>
      </c>
      <c r="G189" t="s">
        <v>34</v>
      </c>
    </row>
    <row r="190" spans="1:7">
      <c r="A190">
        <v>2021</v>
      </c>
      <c r="B190">
        <v>0.36653000000000002</v>
      </c>
      <c r="C190">
        <v>1.3899999999999999E-2</v>
      </c>
      <c r="D190">
        <v>0.93817127772457876</v>
      </c>
      <c r="E190">
        <v>8.440378602214145E-3</v>
      </c>
      <c r="F190">
        <v>0.47330582816339639</v>
      </c>
      <c r="G190" t="s">
        <v>34</v>
      </c>
    </row>
    <row r="191" spans="1:7">
      <c r="A191">
        <v>2021</v>
      </c>
      <c r="B191">
        <v>0.36653000000000002</v>
      </c>
      <c r="C191">
        <v>9.9100000000000004E-3</v>
      </c>
      <c r="D191">
        <v>0.93817127772457876</v>
      </c>
      <c r="E191">
        <v>4.2254711400321133E-3</v>
      </c>
      <c r="F191">
        <v>0.47119837443230539</v>
      </c>
      <c r="G191" t="s">
        <v>34</v>
      </c>
    </row>
    <row r="192" spans="1:7">
      <c r="A192">
        <v>2021</v>
      </c>
      <c r="B192">
        <v>0.36653000000000002</v>
      </c>
      <c r="C192">
        <v>8.6300000000000005E-3</v>
      </c>
      <c r="D192">
        <v>0.93817127772457876</v>
      </c>
      <c r="E192">
        <v>2.8733203752218371E-3</v>
      </c>
      <c r="F192">
        <v>0.47052229904990028</v>
      </c>
      <c r="G192" t="s">
        <v>34</v>
      </c>
    </row>
    <row r="193" spans="1:7">
      <c r="A193">
        <v>2021</v>
      </c>
      <c r="B193">
        <v>0.36653000000000002</v>
      </c>
      <c r="C193">
        <v>1.166E-2</v>
      </c>
      <c r="D193">
        <v>0.93817127772457876</v>
      </c>
      <c r="E193">
        <v>6.0741147637961629E-3</v>
      </c>
      <c r="F193">
        <v>0.47212269624418751</v>
      </c>
      <c r="G193" t="s">
        <v>34</v>
      </c>
    </row>
    <row r="194" spans="1:7">
      <c r="A194">
        <v>2021</v>
      </c>
      <c r="B194">
        <v>0.34144999999999998</v>
      </c>
      <c r="C194">
        <v>0.95255000000000001</v>
      </c>
      <c r="D194">
        <v>0.87326276559952365</v>
      </c>
      <c r="E194">
        <v>1</v>
      </c>
      <c r="F194">
        <v>0.93663138279976188</v>
      </c>
      <c r="G194" t="s">
        <v>44</v>
      </c>
    </row>
    <row r="195" spans="1:7">
      <c r="A195">
        <v>2021</v>
      </c>
      <c r="B195">
        <v>0.34144999999999998</v>
      </c>
      <c r="C195">
        <v>8.5639999999999994E-2</v>
      </c>
      <c r="D195">
        <v>0.87326276559952365</v>
      </c>
      <c r="E195">
        <v>8.4224203498690101E-2</v>
      </c>
      <c r="F195">
        <v>0.47874348454910692</v>
      </c>
      <c r="G195" t="s">
        <v>34</v>
      </c>
    </row>
    <row r="196" spans="1:7">
      <c r="A196">
        <v>2021</v>
      </c>
      <c r="B196">
        <v>0.34144999999999998</v>
      </c>
      <c r="C196">
        <v>1.3899999999999999E-2</v>
      </c>
      <c r="D196">
        <v>0.87326276559952365</v>
      </c>
      <c r="E196">
        <v>8.440378602214145E-3</v>
      </c>
      <c r="F196">
        <v>0.44085157210086889</v>
      </c>
      <c r="G196" t="s">
        <v>34</v>
      </c>
    </row>
    <row r="197" spans="1:7">
      <c r="A197">
        <v>2021</v>
      </c>
      <c r="B197">
        <v>0.34144999999999998</v>
      </c>
      <c r="C197">
        <v>9.9100000000000004E-3</v>
      </c>
      <c r="D197">
        <v>0.87326276559952365</v>
      </c>
      <c r="E197">
        <v>4.2254711400321133E-3</v>
      </c>
      <c r="F197">
        <v>0.43874411836977789</v>
      </c>
      <c r="G197" t="s">
        <v>34</v>
      </c>
    </row>
    <row r="198" spans="1:7">
      <c r="A198">
        <v>2021</v>
      </c>
      <c r="B198">
        <v>0.34144999999999998</v>
      </c>
      <c r="C198">
        <v>8.6300000000000005E-3</v>
      </c>
      <c r="D198">
        <v>0.87326276559952365</v>
      </c>
      <c r="E198">
        <v>2.8733203752218371E-3</v>
      </c>
      <c r="F198">
        <v>0.43806804298737267</v>
      </c>
      <c r="G198" t="s">
        <v>34</v>
      </c>
    </row>
    <row r="199" spans="1:7">
      <c r="A199">
        <v>2021</v>
      </c>
      <c r="B199">
        <v>0.34144999999999998</v>
      </c>
      <c r="C199">
        <v>1.166E-2</v>
      </c>
      <c r="D199">
        <v>0.87326276559952365</v>
      </c>
      <c r="E199">
        <v>6.0741147637961629E-3</v>
      </c>
      <c r="F199">
        <v>0.4396684401816599</v>
      </c>
      <c r="G199" t="s">
        <v>34</v>
      </c>
    </row>
    <row r="200" spans="1:7">
      <c r="A200">
        <v>2021</v>
      </c>
      <c r="B200">
        <v>1.7770000000000001E-2</v>
      </c>
      <c r="C200">
        <v>0.95255000000000001</v>
      </c>
      <c r="D200">
        <v>3.5559926499132997E-2</v>
      </c>
      <c r="E200">
        <v>1</v>
      </c>
      <c r="F200">
        <v>0.51777996324956654</v>
      </c>
      <c r="G200" t="s">
        <v>34</v>
      </c>
    </row>
    <row r="201" spans="1:7">
      <c r="A201">
        <v>2021</v>
      </c>
      <c r="B201">
        <v>1.7770000000000001E-2</v>
      </c>
      <c r="C201">
        <v>8.5639999999999994E-2</v>
      </c>
      <c r="D201">
        <v>3.5559926499132997E-2</v>
      </c>
      <c r="E201">
        <v>8.4224203498690101E-2</v>
      </c>
      <c r="F201">
        <v>5.9892064998911552E-2</v>
      </c>
      <c r="G201" t="s">
        <v>36</v>
      </c>
    </row>
    <row r="202" spans="1:7">
      <c r="A202">
        <v>2021</v>
      </c>
      <c r="B202">
        <v>1.7770000000000001E-2</v>
      </c>
      <c r="C202">
        <v>1.3899999999999999E-2</v>
      </c>
      <c r="D202">
        <v>3.5559926499132997E-2</v>
      </c>
      <c r="E202">
        <v>8.440378602214145E-3</v>
      </c>
      <c r="F202">
        <v>2.2000152550673571E-2</v>
      </c>
      <c r="G202" t="s">
        <v>36</v>
      </c>
    </row>
    <row r="203" spans="1:7">
      <c r="A203">
        <v>2021</v>
      </c>
      <c r="B203">
        <v>1.7770000000000001E-2</v>
      </c>
      <c r="C203">
        <v>9.9100000000000004E-3</v>
      </c>
      <c r="D203">
        <v>3.5559926499132997E-2</v>
      </c>
      <c r="E203">
        <v>4.2254711400321133E-3</v>
      </c>
      <c r="F203">
        <v>1.9892698819582558E-2</v>
      </c>
      <c r="G203" t="s">
        <v>36</v>
      </c>
    </row>
    <row r="204" spans="1:7">
      <c r="A204">
        <v>2021</v>
      </c>
      <c r="B204">
        <v>1.7770000000000001E-2</v>
      </c>
      <c r="C204">
        <v>8.6300000000000005E-3</v>
      </c>
      <c r="D204">
        <v>3.5559926499132997E-2</v>
      </c>
      <c r="E204">
        <v>2.8733203752218371E-3</v>
      </c>
      <c r="F204">
        <v>1.9216623437177421E-2</v>
      </c>
      <c r="G204" t="s">
        <v>36</v>
      </c>
    </row>
    <row r="205" spans="1:7">
      <c r="A205">
        <v>2021</v>
      </c>
      <c r="B205">
        <v>1.7770000000000001E-2</v>
      </c>
      <c r="C205">
        <v>1.166E-2</v>
      </c>
      <c r="D205">
        <v>3.5559926499132997E-2</v>
      </c>
      <c r="E205">
        <v>6.0741147637961629E-3</v>
      </c>
      <c r="F205">
        <v>2.0817020631464581E-2</v>
      </c>
      <c r="G205" t="s">
        <v>36</v>
      </c>
    </row>
    <row r="206" spans="1:7">
      <c r="A206">
        <v>2021</v>
      </c>
      <c r="B206">
        <v>9.3609999999999999E-2</v>
      </c>
      <c r="C206">
        <v>0.95255000000000001</v>
      </c>
      <c r="D206">
        <v>0.2318382980926007</v>
      </c>
      <c r="E206">
        <v>1</v>
      </c>
      <c r="F206">
        <v>0.6159191490463003</v>
      </c>
      <c r="G206" t="s">
        <v>44</v>
      </c>
    </row>
    <row r="207" spans="1:7">
      <c r="A207">
        <v>2021</v>
      </c>
      <c r="B207">
        <v>9.3609999999999999E-2</v>
      </c>
      <c r="C207">
        <v>8.5639999999999994E-2</v>
      </c>
      <c r="D207">
        <v>0.2318382980926007</v>
      </c>
      <c r="E207">
        <v>8.4224203498690101E-2</v>
      </c>
      <c r="F207">
        <v>0.15803125079564539</v>
      </c>
      <c r="G207" t="s">
        <v>36</v>
      </c>
    </row>
    <row r="208" spans="1:7">
      <c r="A208">
        <v>2021</v>
      </c>
      <c r="B208">
        <v>9.3609999999999999E-2</v>
      </c>
      <c r="C208">
        <v>1.3899999999999999E-2</v>
      </c>
      <c r="D208">
        <v>0.2318382980926007</v>
      </c>
      <c r="E208">
        <v>8.440378602214145E-3</v>
      </c>
      <c r="F208">
        <v>0.12013933834740741</v>
      </c>
      <c r="G208" t="s">
        <v>36</v>
      </c>
    </row>
    <row r="209" spans="1:7">
      <c r="A209">
        <v>2021</v>
      </c>
      <c r="B209">
        <v>9.3609999999999999E-2</v>
      </c>
      <c r="C209">
        <v>9.9100000000000004E-3</v>
      </c>
      <c r="D209">
        <v>0.2318382980926007</v>
      </c>
      <c r="E209">
        <v>4.2254711400321133E-3</v>
      </c>
      <c r="F209">
        <v>0.1180318846163164</v>
      </c>
      <c r="G209" t="s">
        <v>36</v>
      </c>
    </row>
    <row r="210" spans="1:7">
      <c r="A210">
        <v>2021</v>
      </c>
      <c r="B210">
        <v>9.3609999999999999E-2</v>
      </c>
      <c r="C210">
        <v>8.6300000000000005E-3</v>
      </c>
      <c r="D210">
        <v>0.2318382980926007</v>
      </c>
      <c r="E210">
        <v>2.8733203752218371E-3</v>
      </c>
      <c r="F210">
        <v>0.1173558092339113</v>
      </c>
      <c r="G210" t="s">
        <v>36</v>
      </c>
    </row>
    <row r="211" spans="1:7">
      <c r="A211">
        <v>2021</v>
      </c>
      <c r="B211">
        <v>9.3609999999999999E-2</v>
      </c>
      <c r="C211">
        <v>1.166E-2</v>
      </c>
      <c r="D211">
        <v>0.2318382980926007</v>
      </c>
      <c r="E211">
        <v>6.0741147637961629E-3</v>
      </c>
      <c r="F211">
        <v>0.1189562064281984</v>
      </c>
      <c r="G211" t="s">
        <v>36</v>
      </c>
    </row>
    <row r="212" spans="1:7">
      <c r="A212">
        <v>2021</v>
      </c>
      <c r="B212">
        <v>6.2700000000000004E-3</v>
      </c>
      <c r="C212">
        <v>0.95255000000000001</v>
      </c>
      <c r="D212">
        <v>5.7972514816636064E-3</v>
      </c>
      <c r="E212">
        <v>1</v>
      </c>
      <c r="F212">
        <v>0.50289862574083177</v>
      </c>
      <c r="G212" t="s">
        <v>34</v>
      </c>
    </row>
    <row r="213" spans="1:7">
      <c r="A213">
        <v>2021</v>
      </c>
      <c r="B213">
        <v>6.2700000000000004E-3</v>
      </c>
      <c r="C213">
        <v>8.5639999999999994E-2</v>
      </c>
      <c r="D213">
        <v>5.7972514816636064E-3</v>
      </c>
      <c r="E213">
        <v>8.4224203498690101E-2</v>
      </c>
      <c r="F213">
        <v>4.5010727490176851E-2</v>
      </c>
      <c r="G213" t="s">
        <v>36</v>
      </c>
    </row>
    <row r="214" spans="1:7">
      <c r="A214">
        <v>2021</v>
      </c>
      <c r="B214">
        <v>6.2700000000000004E-3</v>
      </c>
      <c r="C214">
        <v>1.3899999999999999E-2</v>
      </c>
      <c r="D214">
        <v>5.7972514816636064E-3</v>
      </c>
      <c r="E214">
        <v>8.440378602214145E-3</v>
      </c>
      <c r="F214">
        <v>7.1188150419388757E-3</v>
      </c>
      <c r="G214" t="s">
        <v>36</v>
      </c>
    </row>
    <row r="215" spans="1:7">
      <c r="A215">
        <v>2021</v>
      </c>
      <c r="B215">
        <v>6.2700000000000004E-3</v>
      </c>
      <c r="C215">
        <v>9.9100000000000004E-3</v>
      </c>
      <c r="D215">
        <v>5.7972514816636064E-3</v>
      </c>
      <c r="E215">
        <v>4.2254711400321133E-3</v>
      </c>
      <c r="F215">
        <v>5.0113613108478602E-3</v>
      </c>
      <c r="G215" t="s">
        <v>36</v>
      </c>
    </row>
    <row r="216" spans="1:7">
      <c r="A216">
        <v>2021</v>
      </c>
      <c r="B216">
        <v>6.2700000000000004E-3</v>
      </c>
      <c r="C216">
        <v>8.6300000000000005E-3</v>
      </c>
      <c r="D216">
        <v>5.7972514816636064E-3</v>
      </c>
      <c r="E216">
        <v>2.8733203752218371E-3</v>
      </c>
      <c r="F216">
        <v>4.3352859284427206E-3</v>
      </c>
      <c r="G216" t="s">
        <v>36</v>
      </c>
    </row>
    <row r="217" spans="1:7">
      <c r="A217">
        <v>2021</v>
      </c>
      <c r="B217">
        <v>6.2700000000000004E-3</v>
      </c>
      <c r="C217">
        <v>1.166E-2</v>
      </c>
      <c r="D217">
        <v>5.7972514816636064E-3</v>
      </c>
      <c r="E217">
        <v>6.0741147637961629E-3</v>
      </c>
      <c r="F217">
        <v>5.9356831227298842E-3</v>
      </c>
      <c r="G217" t="s">
        <v>36</v>
      </c>
    </row>
    <row r="218" spans="1:7">
      <c r="A218">
        <v>2021</v>
      </c>
      <c r="B218">
        <v>2.5680000000000001E-2</v>
      </c>
      <c r="C218">
        <v>0.95255000000000001</v>
      </c>
      <c r="D218">
        <v>5.6031470793757608E-2</v>
      </c>
      <c r="E218">
        <v>1</v>
      </c>
      <c r="F218">
        <v>0.52801573539687885</v>
      </c>
      <c r="G218" t="s">
        <v>34</v>
      </c>
    </row>
    <row r="219" spans="1:7">
      <c r="A219">
        <v>2021</v>
      </c>
      <c r="B219">
        <v>2.5680000000000001E-2</v>
      </c>
      <c r="C219">
        <v>8.5639999999999994E-2</v>
      </c>
      <c r="D219">
        <v>5.6031470793757608E-2</v>
      </c>
      <c r="E219">
        <v>8.4224203498690101E-2</v>
      </c>
      <c r="F219">
        <v>7.0127837146223851E-2</v>
      </c>
      <c r="G219" t="s">
        <v>36</v>
      </c>
    </row>
    <row r="220" spans="1:7">
      <c r="A220">
        <v>2021</v>
      </c>
      <c r="B220">
        <v>2.5680000000000001E-2</v>
      </c>
      <c r="C220">
        <v>1.3899999999999999E-2</v>
      </c>
      <c r="D220">
        <v>5.6031470793757608E-2</v>
      </c>
      <c r="E220">
        <v>8.440378602214145E-3</v>
      </c>
      <c r="F220">
        <v>3.2235924697985877E-2</v>
      </c>
      <c r="G220" t="s">
        <v>36</v>
      </c>
    </row>
    <row r="221" spans="1:7">
      <c r="A221">
        <v>2021</v>
      </c>
      <c r="B221">
        <v>2.5680000000000001E-2</v>
      </c>
      <c r="C221">
        <v>9.9100000000000004E-3</v>
      </c>
      <c r="D221">
        <v>5.6031470793757608E-2</v>
      </c>
      <c r="E221">
        <v>4.2254711400321133E-3</v>
      </c>
      <c r="F221">
        <v>3.012847096689486E-2</v>
      </c>
      <c r="G221" t="s">
        <v>36</v>
      </c>
    </row>
    <row r="222" spans="1:7">
      <c r="A222">
        <v>2021</v>
      </c>
      <c r="B222">
        <v>2.5680000000000001E-2</v>
      </c>
      <c r="C222">
        <v>8.6300000000000005E-3</v>
      </c>
      <c r="D222">
        <v>5.6031470793757608E-2</v>
      </c>
      <c r="E222">
        <v>2.8733203752218371E-3</v>
      </c>
      <c r="F222">
        <v>2.945239558448972E-2</v>
      </c>
      <c r="G222" t="s">
        <v>36</v>
      </c>
    </row>
    <row r="223" spans="1:7">
      <c r="A223">
        <v>2021</v>
      </c>
      <c r="B223">
        <v>2.5680000000000001E-2</v>
      </c>
      <c r="C223">
        <v>1.166E-2</v>
      </c>
      <c r="D223">
        <v>5.6031470793757608E-2</v>
      </c>
      <c r="E223">
        <v>6.0741147637961629E-3</v>
      </c>
      <c r="F223">
        <v>3.1052792778776889E-2</v>
      </c>
      <c r="G223" t="s">
        <v>36</v>
      </c>
    </row>
    <row r="224" spans="1:7">
      <c r="A224">
        <v>2021</v>
      </c>
      <c r="B224">
        <v>1.3440000000000001E-2</v>
      </c>
      <c r="C224">
        <v>0.95255000000000001</v>
      </c>
      <c r="D224">
        <v>2.435363234038148E-2</v>
      </c>
      <c r="E224">
        <v>1</v>
      </c>
      <c r="F224">
        <v>0.51217681617019073</v>
      </c>
      <c r="G224" t="s">
        <v>34</v>
      </c>
    </row>
    <row r="225" spans="1:7">
      <c r="A225">
        <v>2021</v>
      </c>
      <c r="B225">
        <v>1.3440000000000001E-2</v>
      </c>
      <c r="C225">
        <v>8.5639999999999994E-2</v>
      </c>
      <c r="D225">
        <v>2.435363234038148E-2</v>
      </c>
      <c r="E225">
        <v>8.4224203498690101E-2</v>
      </c>
      <c r="F225">
        <v>5.4288917919535787E-2</v>
      </c>
      <c r="G225" t="s">
        <v>36</v>
      </c>
    </row>
    <row r="226" spans="1:7">
      <c r="A226">
        <v>2021</v>
      </c>
      <c r="B226">
        <v>1.3440000000000001E-2</v>
      </c>
      <c r="C226">
        <v>1.3899999999999999E-2</v>
      </c>
      <c r="D226">
        <v>2.435363234038148E-2</v>
      </c>
      <c r="E226">
        <v>8.440378602214145E-3</v>
      </c>
      <c r="F226">
        <v>1.6397005471297809E-2</v>
      </c>
      <c r="G226" t="s">
        <v>36</v>
      </c>
    </row>
    <row r="227" spans="1:7">
      <c r="A227">
        <v>2021</v>
      </c>
      <c r="B227">
        <v>1.3440000000000001E-2</v>
      </c>
      <c r="C227">
        <v>9.9100000000000004E-3</v>
      </c>
      <c r="D227">
        <v>2.435363234038148E-2</v>
      </c>
      <c r="E227">
        <v>4.2254711400321133E-3</v>
      </c>
      <c r="F227">
        <v>1.42895517402068E-2</v>
      </c>
      <c r="G227" t="s">
        <v>36</v>
      </c>
    </row>
    <row r="228" spans="1:7">
      <c r="A228">
        <v>2021</v>
      </c>
      <c r="B228">
        <v>1.3440000000000001E-2</v>
      </c>
      <c r="C228">
        <v>8.6300000000000005E-3</v>
      </c>
      <c r="D228">
        <v>2.435363234038148E-2</v>
      </c>
      <c r="E228">
        <v>2.8733203752218371E-3</v>
      </c>
      <c r="F228">
        <v>1.3613476357801659E-2</v>
      </c>
      <c r="G228" t="s">
        <v>36</v>
      </c>
    </row>
    <row r="229" spans="1:7">
      <c r="A229">
        <v>2021</v>
      </c>
      <c r="B229">
        <v>1.3440000000000001E-2</v>
      </c>
      <c r="C229">
        <v>1.166E-2</v>
      </c>
      <c r="D229">
        <v>2.435363234038148E-2</v>
      </c>
      <c r="E229">
        <v>6.0741147637961629E-3</v>
      </c>
      <c r="F229">
        <v>1.521387355208882E-2</v>
      </c>
      <c r="G229" t="s">
        <v>36</v>
      </c>
    </row>
    <row r="230" spans="1:7">
      <c r="A230">
        <v>2021</v>
      </c>
      <c r="B230">
        <v>3.8370000000000001E-2</v>
      </c>
      <c r="C230">
        <v>0.95255000000000001</v>
      </c>
      <c r="D230">
        <v>8.8873935660860784E-2</v>
      </c>
      <c r="E230">
        <v>1</v>
      </c>
      <c r="F230">
        <v>0.54443696783043039</v>
      </c>
      <c r="G230" t="s">
        <v>34</v>
      </c>
    </row>
    <row r="231" spans="1:7">
      <c r="A231">
        <v>2021</v>
      </c>
      <c r="B231">
        <v>3.8370000000000001E-2</v>
      </c>
      <c r="C231">
        <v>8.5639999999999994E-2</v>
      </c>
      <c r="D231">
        <v>8.8873935660860784E-2</v>
      </c>
      <c r="E231">
        <v>8.4224203498690101E-2</v>
      </c>
      <c r="F231">
        <v>8.6549069579775442E-2</v>
      </c>
      <c r="G231" t="s">
        <v>36</v>
      </c>
    </row>
    <row r="232" spans="1:7">
      <c r="A232">
        <v>2021</v>
      </c>
      <c r="B232">
        <v>3.8370000000000001E-2</v>
      </c>
      <c r="C232">
        <v>1.3899999999999999E-2</v>
      </c>
      <c r="D232">
        <v>8.8873935660860784E-2</v>
      </c>
      <c r="E232">
        <v>8.440378602214145E-3</v>
      </c>
      <c r="F232">
        <v>4.8657157131537468E-2</v>
      </c>
      <c r="G232" t="s">
        <v>36</v>
      </c>
    </row>
    <row r="233" spans="1:7">
      <c r="A233">
        <v>2021</v>
      </c>
      <c r="B233">
        <v>3.8370000000000001E-2</v>
      </c>
      <c r="C233">
        <v>9.9100000000000004E-3</v>
      </c>
      <c r="D233">
        <v>8.8873935660860784E-2</v>
      </c>
      <c r="E233">
        <v>4.2254711400321133E-3</v>
      </c>
      <c r="F233">
        <v>4.6549703400446452E-2</v>
      </c>
      <c r="G233" t="s">
        <v>36</v>
      </c>
    </row>
    <row r="234" spans="1:7">
      <c r="A234">
        <v>2021</v>
      </c>
      <c r="B234">
        <v>3.8370000000000001E-2</v>
      </c>
      <c r="C234">
        <v>8.6300000000000005E-3</v>
      </c>
      <c r="D234">
        <v>8.8873935660860784E-2</v>
      </c>
      <c r="E234">
        <v>2.8733203752218371E-3</v>
      </c>
      <c r="F234">
        <v>4.5873628018041311E-2</v>
      </c>
      <c r="G234" t="s">
        <v>36</v>
      </c>
    </row>
    <row r="235" spans="1:7">
      <c r="A235">
        <v>2021</v>
      </c>
      <c r="B235">
        <v>3.8370000000000001E-2</v>
      </c>
      <c r="C235">
        <v>1.166E-2</v>
      </c>
      <c r="D235">
        <v>8.8873935660860784E-2</v>
      </c>
      <c r="E235">
        <v>6.0741147637961629E-3</v>
      </c>
      <c r="F235">
        <v>4.747402521232847E-2</v>
      </c>
      <c r="G235" t="s">
        <v>36</v>
      </c>
    </row>
    <row r="236" spans="1:7">
      <c r="A236">
        <v>2021</v>
      </c>
      <c r="B236">
        <v>0.32397999999999999</v>
      </c>
      <c r="C236">
        <v>0.95255000000000001</v>
      </c>
      <c r="D236">
        <v>0.82804938015994189</v>
      </c>
      <c r="E236">
        <v>1</v>
      </c>
      <c r="F236">
        <v>0.91402469007997089</v>
      </c>
      <c r="G236" t="s">
        <v>44</v>
      </c>
    </row>
    <row r="237" spans="1:7">
      <c r="A237">
        <v>2021</v>
      </c>
      <c r="B237">
        <v>0.32397999999999999</v>
      </c>
      <c r="C237">
        <v>8.5639999999999994E-2</v>
      </c>
      <c r="D237">
        <v>0.82804938015994189</v>
      </c>
      <c r="E237">
        <v>8.4224203498690101E-2</v>
      </c>
      <c r="F237">
        <v>0.45613679182931599</v>
      </c>
      <c r="G237" t="s">
        <v>34</v>
      </c>
    </row>
    <row r="238" spans="1:7">
      <c r="A238">
        <v>2021</v>
      </c>
      <c r="B238">
        <v>0.32397999999999999</v>
      </c>
      <c r="C238">
        <v>1.3899999999999999E-2</v>
      </c>
      <c r="D238">
        <v>0.82804938015994189</v>
      </c>
      <c r="E238">
        <v>8.440378602214145E-3</v>
      </c>
      <c r="F238">
        <v>0.41824487938107802</v>
      </c>
      <c r="G238" t="s">
        <v>34</v>
      </c>
    </row>
    <row r="239" spans="1:7">
      <c r="A239">
        <v>2021</v>
      </c>
      <c r="B239">
        <v>0.32397999999999999</v>
      </c>
      <c r="C239">
        <v>9.9100000000000004E-3</v>
      </c>
      <c r="D239">
        <v>0.82804938015994189</v>
      </c>
      <c r="E239">
        <v>4.2254711400321133E-3</v>
      </c>
      <c r="F239">
        <v>0.41613742564998701</v>
      </c>
      <c r="G239" t="s">
        <v>34</v>
      </c>
    </row>
    <row r="240" spans="1:7">
      <c r="A240">
        <v>2021</v>
      </c>
      <c r="B240">
        <v>0.32397999999999999</v>
      </c>
      <c r="C240">
        <v>8.6300000000000005E-3</v>
      </c>
      <c r="D240">
        <v>0.82804938015994189</v>
      </c>
      <c r="E240">
        <v>2.8733203752218371E-3</v>
      </c>
      <c r="F240">
        <v>0.41546135026758191</v>
      </c>
      <c r="G240" t="s">
        <v>34</v>
      </c>
    </row>
    <row r="241" spans="1:7">
      <c r="A241">
        <v>2021</v>
      </c>
      <c r="B241">
        <v>0.32397999999999999</v>
      </c>
      <c r="C241">
        <v>1.166E-2</v>
      </c>
      <c r="D241">
        <v>0.82804938015994189</v>
      </c>
      <c r="E241">
        <v>6.0741147637961629E-3</v>
      </c>
      <c r="F241">
        <v>0.41706174746186903</v>
      </c>
      <c r="G241" t="s">
        <v>34</v>
      </c>
    </row>
    <row r="242" spans="1:7">
      <c r="A242">
        <v>2022</v>
      </c>
      <c r="B242">
        <v>2.5229999999999999E-2</v>
      </c>
      <c r="C242">
        <v>0.93737000000000004</v>
      </c>
      <c r="D242">
        <v>5.486684438003054E-2</v>
      </c>
      <c r="E242">
        <v>0.98396433702357822</v>
      </c>
      <c r="F242">
        <v>0.51941559070180443</v>
      </c>
      <c r="G242" t="s">
        <v>34</v>
      </c>
    </row>
    <row r="243" spans="1:7">
      <c r="A243">
        <v>2022</v>
      </c>
      <c r="B243">
        <v>2.5229999999999999E-2</v>
      </c>
      <c r="C243">
        <v>0.10577</v>
      </c>
      <c r="D243">
        <v>5.486684438003054E-2</v>
      </c>
      <c r="E243">
        <v>0.1054888870109017</v>
      </c>
      <c r="F243">
        <v>8.017786569546613E-2</v>
      </c>
      <c r="G243" t="s">
        <v>36</v>
      </c>
    </row>
    <row r="244" spans="1:7">
      <c r="A244">
        <v>2022</v>
      </c>
      <c r="B244">
        <v>2.5229999999999999E-2</v>
      </c>
      <c r="C244">
        <v>8.3099999999999997E-3</v>
      </c>
      <c r="D244">
        <v>5.486684438003054E-2</v>
      </c>
      <c r="E244">
        <v>2.5352826840192668E-3</v>
      </c>
      <c r="F244">
        <v>2.8701063532024899E-2</v>
      </c>
      <c r="G244" t="s">
        <v>36</v>
      </c>
    </row>
    <row r="245" spans="1:7">
      <c r="A245">
        <v>2022</v>
      </c>
      <c r="B245">
        <v>2.5229999999999999E-2</v>
      </c>
      <c r="C245">
        <v>1.374E-2</v>
      </c>
      <c r="D245">
        <v>5.486684438003054E-2</v>
      </c>
      <c r="E245">
        <v>8.2713597566128616E-3</v>
      </c>
      <c r="F245">
        <v>3.1569102068321697E-2</v>
      </c>
      <c r="G245" t="s">
        <v>36</v>
      </c>
    </row>
    <row r="246" spans="1:7">
      <c r="A246">
        <v>2022</v>
      </c>
      <c r="B246">
        <v>2.5229999999999999E-2</v>
      </c>
      <c r="C246">
        <v>8.1499999999999993E-3</v>
      </c>
      <c r="D246">
        <v>5.486684438003054E-2</v>
      </c>
      <c r="E246">
        <v>2.3662638384179821E-3</v>
      </c>
      <c r="F246">
        <v>2.861655410922426E-2</v>
      </c>
      <c r="G246" t="s">
        <v>36</v>
      </c>
    </row>
    <row r="247" spans="1:7">
      <c r="A247">
        <v>2022</v>
      </c>
      <c r="B247">
        <v>2.5229999999999999E-2</v>
      </c>
      <c r="C247">
        <v>1.422E-2</v>
      </c>
      <c r="D247">
        <v>5.486684438003054E-2</v>
      </c>
      <c r="E247">
        <v>8.7784162934167152E-3</v>
      </c>
      <c r="F247">
        <v>3.1822630336723633E-2</v>
      </c>
      <c r="G247" t="s">
        <v>36</v>
      </c>
    </row>
    <row r="248" spans="1:7">
      <c r="A248">
        <v>2022</v>
      </c>
      <c r="B248">
        <v>0.39041999999999999</v>
      </c>
      <c r="C248">
        <v>0.93737000000000004</v>
      </c>
      <c r="D248">
        <v>0.99999999999999989</v>
      </c>
      <c r="E248">
        <v>0.98396433702357822</v>
      </c>
      <c r="F248">
        <v>0.99198216851178911</v>
      </c>
      <c r="G248" t="s">
        <v>44</v>
      </c>
    </row>
    <row r="249" spans="1:7">
      <c r="A249">
        <v>2022</v>
      </c>
      <c r="B249">
        <v>0.39041999999999999</v>
      </c>
      <c r="C249">
        <v>0.10577</v>
      </c>
      <c r="D249">
        <v>0.99999999999999989</v>
      </c>
      <c r="E249">
        <v>0.1054888870109017</v>
      </c>
      <c r="F249">
        <v>0.55274444350545082</v>
      </c>
      <c r="G249" t="s">
        <v>34</v>
      </c>
    </row>
    <row r="250" spans="1:7">
      <c r="A250">
        <v>2022</v>
      </c>
      <c r="B250">
        <v>0.39041999999999999</v>
      </c>
      <c r="C250">
        <v>8.3099999999999997E-3</v>
      </c>
      <c r="D250">
        <v>0.99999999999999989</v>
      </c>
      <c r="E250">
        <v>2.5352826840192668E-3</v>
      </c>
      <c r="F250">
        <v>0.50126764134200963</v>
      </c>
      <c r="G250" t="s">
        <v>34</v>
      </c>
    </row>
    <row r="251" spans="1:7">
      <c r="A251">
        <v>2022</v>
      </c>
      <c r="B251">
        <v>0.39041999999999999</v>
      </c>
      <c r="C251">
        <v>1.374E-2</v>
      </c>
      <c r="D251">
        <v>0.99999999999999989</v>
      </c>
      <c r="E251">
        <v>8.2713597566128616E-3</v>
      </c>
      <c r="F251">
        <v>0.50413567987830632</v>
      </c>
      <c r="G251" t="s">
        <v>34</v>
      </c>
    </row>
    <row r="252" spans="1:7">
      <c r="A252">
        <v>2022</v>
      </c>
      <c r="B252">
        <v>0.39041999999999999</v>
      </c>
      <c r="C252">
        <v>8.1499999999999993E-3</v>
      </c>
      <c r="D252">
        <v>0.99999999999999989</v>
      </c>
      <c r="E252">
        <v>2.3662638384179821E-3</v>
      </c>
      <c r="F252">
        <v>0.50118313191920894</v>
      </c>
      <c r="G252" t="s">
        <v>34</v>
      </c>
    </row>
    <row r="253" spans="1:7">
      <c r="A253">
        <v>2022</v>
      </c>
      <c r="B253">
        <v>0.39041999999999999</v>
      </c>
      <c r="C253">
        <v>1.422E-2</v>
      </c>
      <c r="D253">
        <v>0.99999999999999989</v>
      </c>
      <c r="E253">
        <v>8.7784162934167152E-3</v>
      </c>
      <c r="F253">
        <v>0.50438920814670829</v>
      </c>
      <c r="G253" t="s">
        <v>34</v>
      </c>
    </row>
    <row r="254" spans="1:7">
      <c r="A254">
        <v>2022</v>
      </c>
      <c r="B254">
        <v>0.31233</v>
      </c>
      <c r="C254">
        <v>0.93737000000000004</v>
      </c>
      <c r="D254">
        <v>0.79789849633789689</v>
      </c>
      <c r="E254">
        <v>0.98396433702357822</v>
      </c>
      <c r="F254">
        <v>0.89093141668073761</v>
      </c>
      <c r="G254" t="s">
        <v>44</v>
      </c>
    </row>
    <row r="255" spans="1:7">
      <c r="A255">
        <v>2022</v>
      </c>
      <c r="B255">
        <v>0.31233</v>
      </c>
      <c r="C255">
        <v>0.10577</v>
      </c>
      <c r="D255">
        <v>0.79789849633789689</v>
      </c>
      <c r="E255">
        <v>0.1054888870109017</v>
      </c>
      <c r="F255">
        <v>0.45169369167439932</v>
      </c>
      <c r="G255" t="s">
        <v>34</v>
      </c>
    </row>
    <row r="256" spans="1:7">
      <c r="A256">
        <v>2022</v>
      </c>
      <c r="B256">
        <v>0.31233</v>
      </c>
      <c r="C256">
        <v>8.3099999999999997E-3</v>
      </c>
      <c r="D256">
        <v>0.79789849633789689</v>
      </c>
      <c r="E256">
        <v>2.5352826840192668E-3</v>
      </c>
      <c r="F256">
        <v>0.40021688951095807</v>
      </c>
      <c r="G256" t="s">
        <v>34</v>
      </c>
    </row>
    <row r="257" spans="1:7">
      <c r="A257">
        <v>2022</v>
      </c>
      <c r="B257">
        <v>0.31233</v>
      </c>
      <c r="C257">
        <v>1.374E-2</v>
      </c>
      <c r="D257">
        <v>0.79789849633789689</v>
      </c>
      <c r="E257">
        <v>8.2713597566128616E-3</v>
      </c>
      <c r="F257">
        <v>0.40308492804725488</v>
      </c>
      <c r="G257" t="s">
        <v>34</v>
      </c>
    </row>
    <row r="258" spans="1:7">
      <c r="A258">
        <v>2022</v>
      </c>
      <c r="B258">
        <v>0.31233</v>
      </c>
      <c r="C258">
        <v>8.1499999999999993E-3</v>
      </c>
      <c r="D258">
        <v>0.79789849633789689</v>
      </c>
      <c r="E258">
        <v>2.3662638384179821E-3</v>
      </c>
      <c r="F258">
        <v>0.40013238008815738</v>
      </c>
      <c r="G258" t="s">
        <v>34</v>
      </c>
    </row>
    <row r="259" spans="1:7">
      <c r="A259">
        <v>2022</v>
      </c>
      <c r="B259">
        <v>0.31233</v>
      </c>
      <c r="C259">
        <v>1.422E-2</v>
      </c>
      <c r="D259">
        <v>0.79789849633789689</v>
      </c>
      <c r="E259">
        <v>8.7784162934167152E-3</v>
      </c>
      <c r="F259">
        <v>0.40333845631565679</v>
      </c>
      <c r="G259" t="s">
        <v>34</v>
      </c>
    </row>
    <row r="260" spans="1:7">
      <c r="A260">
        <v>2022</v>
      </c>
      <c r="B260">
        <v>1.583E-2</v>
      </c>
      <c r="C260">
        <v>0.93737000000000004</v>
      </c>
      <c r="D260">
        <v>3.0539092626620769E-2</v>
      </c>
      <c r="E260">
        <v>0.98396433702357822</v>
      </c>
      <c r="F260">
        <v>0.50725171482509945</v>
      </c>
      <c r="G260" t="s">
        <v>34</v>
      </c>
    </row>
    <row r="261" spans="1:7">
      <c r="A261">
        <v>2022</v>
      </c>
      <c r="B261">
        <v>1.583E-2</v>
      </c>
      <c r="C261">
        <v>0.10577</v>
      </c>
      <c r="D261">
        <v>3.0539092626620769E-2</v>
      </c>
      <c r="E261">
        <v>0.1054888870109017</v>
      </c>
      <c r="F261">
        <v>6.801398981876125E-2</v>
      </c>
      <c r="G261" t="s">
        <v>36</v>
      </c>
    </row>
    <row r="262" spans="1:7">
      <c r="A262">
        <v>2022</v>
      </c>
      <c r="B262">
        <v>1.583E-2</v>
      </c>
      <c r="C262">
        <v>8.3099999999999997E-3</v>
      </c>
      <c r="D262">
        <v>3.0539092626620769E-2</v>
      </c>
      <c r="E262">
        <v>2.5352826840192668E-3</v>
      </c>
      <c r="F262">
        <v>1.6537187655320019E-2</v>
      </c>
      <c r="G262" t="s">
        <v>36</v>
      </c>
    </row>
    <row r="263" spans="1:7">
      <c r="A263">
        <v>2022</v>
      </c>
      <c r="B263">
        <v>1.583E-2</v>
      </c>
      <c r="C263">
        <v>1.374E-2</v>
      </c>
      <c r="D263">
        <v>3.0539092626620769E-2</v>
      </c>
      <c r="E263">
        <v>8.2713597566128616E-3</v>
      </c>
      <c r="F263">
        <v>1.9405226191616821E-2</v>
      </c>
      <c r="G263" t="s">
        <v>36</v>
      </c>
    </row>
    <row r="264" spans="1:7">
      <c r="A264">
        <v>2022</v>
      </c>
      <c r="B264">
        <v>1.583E-2</v>
      </c>
      <c r="C264">
        <v>8.1499999999999993E-3</v>
      </c>
      <c r="D264">
        <v>3.0539092626620769E-2</v>
      </c>
      <c r="E264">
        <v>2.3662638384179821E-3</v>
      </c>
      <c r="F264">
        <v>1.6452678232519381E-2</v>
      </c>
      <c r="G264" t="s">
        <v>36</v>
      </c>
    </row>
    <row r="265" spans="1:7">
      <c r="A265">
        <v>2022</v>
      </c>
      <c r="B265">
        <v>1.583E-2</v>
      </c>
      <c r="C265">
        <v>1.422E-2</v>
      </c>
      <c r="D265">
        <v>3.0539092626620769E-2</v>
      </c>
      <c r="E265">
        <v>8.7784162934167152E-3</v>
      </c>
      <c r="F265">
        <v>1.9658754460018749E-2</v>
      </c>
      <c r="G265" t="s">
        <v>36</v>
      </c>
    </row>
    <row r="266" spans="1:7">
      <c r="A266">
        <v>2022</v>
      </c>
      <c r="B266">
        <v>9.2560000000000003E-2</v>
      </c>
      <c r="C266">
        <v>0.93737000000000004</v>
      </c>
      <c r="D266">
        <v>0.22912083646057091</v>
      </c>
      <c r="E266">
        <v>0.98396433702357822</v>
      </c>
      <c r="F266">
        <v>0.60654258674207462</v>
      </c>
      <c r="G266" t="s">
        <v>44</v>
      </c>
    </row>
    <row r="267" spans="1:7">
      <c r="A267">
        <v>2022</v>
      </c>
      <c r="B267">
        <v>9.2560000000000003E-2</v>
      </c>
      <c r="C267">
        <v>0.10577</v>
      </c>
      <c r="D267">
        <v>0.22912083646057091</v>
      </c>
      <c r="E267">
        <v>0.1054888870109017</v>
      </c>
      <c r="F267">
        <v>0.1673048617357363</v>
      </c>
      <c r="G267" t="s">
        <v>36</v>
      </c>
    </row>
    <row r="268" spans="1:7">
      <c r="A268">
        <v>2022</v>
      </c>
      <c r="B268">
        <v>9.2560000000000003E-2</v>
      </c>
      <c r="C268">
        <v>8.3099999999999997E-3</v>
      </c>
      <c r="D268">
        <v>0.22912083646057091</v>
      </c>
      <c r="E268">
        <v>2.5352826840192668E-3</v>
      </c>
      <c r="F268">
        <v>0.1158280595722951</v>
      </c>
      <c r="G268" t="s">
        <v>36</v>
      </c>
    </row>
    <row r="269" spans="1:7">
      <c r="A269">
        <v>2022</v>
      </c>
      <c r="B269">
        <v>9.2560000000000003E-2</v>
      </c>
      <c r="C269">
        <v>1.374E-2</v>
      </c>
      <c r="D269">
        <v>0.22912083646057091</v>
      </c>
      <c r="E269">
        <v>8.2713597566128616E-3</v>
      </c>
      <c r="F269">
        <v>0.1186960981085919</v>
      </c>
      <c r="G269" t="s">
        <v>36</v>
      </c>
    </row>
    <row r="270" spans="1:7">
      <c r="A270">
        <v>2022</v>
      </c>
      <c r="B270">
        <v>9.2560000000000003E-2</v>
      </c>
      <c r="C270">
        <v>8.1499999999999993E-3</v>
      </c>
      <c r="D270">
        <v>0.22912083646057091</v>
      </c>
      <c r="E270">
        <v>2.3662638384179821E-3</v>
      </c>
      <c r="F270">
        <v>0.1157435501494944</v>
      </c>
      <c r="G270" t="s">
        <v>36</v>
      </c>
    </row>
    <row r="271" spans="1:7">
      <c r="A271">
        <v>2022</v>
      </c>
      <c r="B271">
        <v>9.2560000000000003E-2</v>
      </c>
      <c r="C271">
        <v>1.422E-2</v>
      </c>
      <c r="D271">
        <v>0.22912083646057091</v>
      </c>
      <c r="E271">
        <v>8.7784162934167152E-3</v>
      </c>
      <c r="F271">
        <v>0.1189496263769938</v>
      </c>
      <c r="G271" t="s">
        <v>36</v>
      </c>
    </row>
    <row r="272" spans="1:7">
      <c r="A272">
        <v>2022</v>
      </c>
      <c r="B272">
        <v>5.6699999999999997E-3</v>
      </c>
      <c r="C272">
        <v>0.93737000000000004</v>
      </c>
      <c r="D272">
        <v>4.2444162633608531E-3</v>
      </c>
      <c r="E272">
        <v>0.98396433702357822</v>
      </c>
      <c r="F272">
        <v>0.49410437664346951</v>
      </c>
      <c r="G272" t="s">
        <v>34</v>
      </c>
    </row>
    <row r="273" spans="1:7">
      <c r="A273">
        <v>2022</v>
      </c>
      <c r="B273">
        <v>5.6699999999999997E-3</v>
      </c>
      <c r="C273">
        <v>0.10577</v>
      </c>
      <c r="D273">
        <v>4.2444162633608531E-3</v>
      </c>
      <c r="E273">
        <v>0.1054888870109017</v>
      </c>
      <c r="F273">
        <v>5.4866651637131288E-2</v>
      </c>
      <c r="G273" t="s">
        <v>36</v>
      </c>
    </row>
    <row r="274" spans="1:7">
      <c r="A274">
        <v>2022</v>
      </c>
      <c r="B274">
        <v>5.6699999999999997E-3</v>
      </c>
      <c r="C274">
        <v>8.3099999999999997E-3</v>
      </c>
      <c r="D274">
        <v>4.2444162633608531E-3</v>
      </c>
      <c r="E274">
        <v>2.5352826840192668E-3</v>
      </c>
      <c r="F274">
        <v>3.3898494736900602E-3</v>
      </c>
      <c r="G274" t="s">
        <v>36</v>
      </c>
    </row>
    <row r="275" spans="1:7">
      <c r="A275">
        <v>2022</v>
      </c>
      <c r="B275">
        <v>5.6699999999999997E-3</v>
      </c>
      <c r="C275">
        <v>1.374E-2</v>
      </c>
      <c r="D275">
        <v>4.2444162633608531E-3</v>
      </c>
      <c r="E275">
        <v>8.2713597566128616E-3</v>
      </c>
      <c r="F275">
        <v>6.2578880099868573E-3</v>
      </c>
      <c r="G275" t="s">
        <v>36</v>
      </c>
    </row>
    <row r="276" spans="1:7">
      <c r="A276">
        <v>2022</v>
      </c>
      <c r="B276">
        <v>5.6699999999999997E-3</v>
      </c>
      <c r="C276">
        <v>8.1499999999999993E-3</v>
      </c>
      <c r="D276">
        <v>4.2444162633608531E-3</v>
      </c>
      <c r="E276">
        <v>2.3662638384179821E-3</v>
      </c>
      <c r="F276">
        <v>3.305340050889418E-3</v>
      </c>
      <c r="G276" t="s">
        <v>36</v>
      </c>
    </row>
    <row r="277" spans="1:7">
      <c r="A277">
        <v>2022</v>
      </c>
      <c r="B277">
        <v>5.6699999999999997E-3</v>
      </c>
      <c r="C277">
        <v>1.422E-2</v>
      </c>
      <c r="D277">
        <v>4.2444162633608531E-3</v>
      </c>
      <c r="E277">
        <v>8.7784162934167152E-3</v>
      </c>
      <c r="F277">
        <v>6.5114162783887842E-3</v>
      </c>
      <c r="G277" t="s">
        <v>36</v>
      </c>
    </row>
    <row r="278" spans="1:7">
      <c r="A278">
        <v>2022</v>
      </c>
      <c r="B278">
        <v>2.6720000000000001E-2</v>
      </c>
      <c r="C278">
        <v>0.93737000000000004</v>
      </c>
      <c r="D278">
        <v>5.8723051838815703E-2</v>
      </c>
      <c r="E278">
        <v>0.98396433702357822</v>
      </c>
      <c r="F278">
        <v>0.52134369443119699</v>
      </c>
      <c r="G278" t="s">
        <v>34</v>
      </c>
    </row>
    <row r="279" spans="1:7">
      <c r="A279">
        <v>2022</v>
      </c>
      <c r="B279">
        <v>2.6720000000000001E-2</v>
      </c>
      <c r="C279">
        <v>0.10577</v>
      </c>
      <c r="D279">
        <v>5.8723051838815703E-2</v>
      </c>
      <c r="E279">
        <v>0.1054888870109017</v>
      </c>
      <c r="F279">
        <v>8.2105969424858719E-2</v>
      </c>
      <c r="G279" t="s">
        <v>36</v>
      </c>
    </row>
    <row r="280" spans="1:7">
      <c r="A280">
        <v>2022</v>
      </c>
      <c r="B280">
        <v>2.6720000000000001E-2</v>
      </c>
      <c r="C280">
        <v>8.3099999999999997E-3</v>
      </c>
      <c r="D280">
        <v>5.8723051838815703E-2</v>
      </c>
      <c r="E280">
        <v>2.5352826840192668E-3</v>
      </c>
      <c r="F280">
        <v>3.062916726141748E-2</v>
      </c>
      <c r="G280" t="s">
        <v>36</v>
      </c>
    </row>
    <row r="281" spans="1:7">
      <c r="A281">
        <v>2022</v>
      </c>
      <c r="B281">
        <v>2.6720000000000001E-2</v>
      </c>
      <c r="C281">
        <v>1.374E-2</v>
      </c>
      <c r="D281">
        <v>5.8723051838815703E-2</v>
      </c>
      <c r="E281">
        <v>8.2713597566128616E-3</v>
      </c>
      <c r="F281">
        <v>3.3497205797714293E-2</v>
      </c>
      <c r="G281" t="s">
        <v>36</v>
      </c>
    </row>
    <row r="282" spans="1:7">
      <c r="A282">
        <v>2022</v>
      </c>
      <c r="B282">
        <v>2.6720000000000001E-2</v>
      </c>
      <c r="C282">
        <v>8.1499999999999993E-3</v>
      </c>
      <c r="D282">
        <v>5.8723051838815703E-2</v>
      </c>
      <c r="E282">
        <v>2.3662638384179821E-3</v>
      </c>
      <c r="F282">
        <v>3.0544657838616839E-2</v>
      </c>
      <c r="G282" t="s">
        <v>36</v>
      </c>
    </row>
    <row r="283" spans="1:7">
      <c r="A283">
        <v>2022</v>
      </c>
      <c r="B283">
        <v>2.6720000000000001E-2</v>
      </c>
      <c r="C283">
        <v>1.422E-2</v>
      </c>
      <c r="D283">
        <v>5.8723051838815703E-2</v>
      </c>
      <c r="E283">
        <v>8.7784162934167152E-3</v>
      </c>
      <c r="F283">
        <v>3.3750734066116207E-2</v>
      </c>
      <c r="G283" t="s">
        <v>36</v>
      </c>
    </row>
    <row r="284" spans="1:7">
      <c r="A284">
        <v>2022</v>
      </c>
      <c r="B284">
        <v>7.3200000000000001E-3</v>
      </c>
      <c r="C284">
        <v>0.93737000000000004</v>
      </c>
      <c r="D284">
        <v>8.5147131136934177E-3</v>
      </c>
      <c r="E284">
        <v>0.98396433702357822</v>
      </c>
      <c r="F284">
        <v>0.49623952506863578</v>
      </c>
      <c r="G284" t="s">
        <v>34</v>
      </c>
    </row>
    <row r="285" spans="1:7">
      <c r="A285">
        <v>2022</v>
      </c>
      <c r="B285">
        <v>7.3200000000000001E-3</v>
      </c>
      <c r="C285">
        <v>0.10577</v>
      </c>
      <c r="D285">
        <v>8.5147131136934177E-3</v>
      </c>
      <c r="E285">
        <v>0.1054888870109017</v>
      </c>
      <c r="F285">
        <v>5.7001800062297582E-2</v>
      </c>
      <c r="G285" t="s">
        <v>36</v>
      </c>
    </row>
    <row r="286" spans="1:7">
      <c r="A286">
        <v>2022</v>
      </c>
      <c r="B286">
        <v>7.3200000000000001E-3</v>
      </c>
      <c r="C286">
        <v>8.3099999999999997E-3</v>
      </c>
      <c r="D286">
        <v>8.5147131136934177E-3</v>
      </c>
      <c r="E286">
        <v>2.5352826840192668E-3</v>
      </c>
      <c r="F286">
        <v>5.524997898856342E-3</v>
      </c>
      <c r="G286" t="s">
        <v>36</v>
      </c>
    </row>
    <row r="287" spans="1:7">
      <c r="A287">
        <v>2022</v>
      </c>
      <c r="B287">
        <v>7.3200000000000001E-3</v>
      </c>
      <c r="C287">
        <v>1.374E-2</v>
      </c>
      <c r="D287">
        <v>8.5147131136934177E-3</v>
      </c>
      <c r="E287">
        <v>8.2713597566128616E-3</v>
      </c>
      <c r="F287">
        <v>8.3930364351531388E-3</v>
      </c>
      <c r="G287" t="s">
        <v>36</v>
      </c>
    </row>
    <row r="288" spans="1:7">
      <c r="A288">
        <v>2022</v>
      </c>
      <c r="B288">
        <v>7.3200000000000001E-3</v>
      </c>
      <c r="C288">
        <v>8.1499999999999993E-3</v>
      </c>
      <c r="D288">
        <v>8.5147131136934177E-3</v>
      </c>
      <c r="E288">
        <v>2.3662638384179821E-3</v>
      </c>
      <c r="F288">
        <v>5.4404884760557003E-3</v>
      </c>
      <c r="G288" t="s">
        <v>36</v>
      </c>
    </row>
    <row r="289" spans="1:7">
      <c r="A289">
        <v>2022</v>
      </c>
      <c r="B289">
        <v>7.3200000000000001E-3</v>
      </c>
      <c r="C289">
        <v>1.422E-2</v>
      </c>
      <c r="D289">
        <v>8.5147131136934177E-3</v>
      </c>
      <c r="E289">
        <v>8.7784162934167152E-3</v>
      </c>
      <c r="F289">
        <v>8.6465647035550673E-3</v>
      </c>
      <c r="G289" t="s">
        <v>36</v>
      </c>
    </row>
    <row r="290" spans="1:7">
      <c r="A290">
        <v>2022</v>
      </c>
      <c r="B290">
        <v>3.9410000000000001E-2</v>
      </c>
      <c r="C290">
        <v>0.93737000000000004</v>
      </c>
      <c r="D290">
        <v>9.1565516705918878E-2</v>
      </c>
      <c r="E290">
        <v>0.98396433702357822</v>
      </c>
      <c r="F290">
        <v>0.53776492686474853</v>
      </c>
      <c r="G290" t="s">
        <v>34</v>
      </c>
    </row>
    <row r="291" spans="1:7">
      <c r="A291">
        <v>2022</v>
      </c>
      <c r="B291">
        <v>3.9410000000000001E-2</v>
      </c>
      <c r="C291">
        <v>0.10577</v>
      </c>
      <c r="D291">
        <v>9.1565516705918878E-2</v>
      </c>
      <c r="E291">
        <v>0.1054888870109017</v>
      </c>
      <c r="F291">
        <v>9.8527201858410296E-2</v>
      </c>
      <c r="G291" t="s">
        <v>36</v>
      </c>
    </row>
    <row r="292" spans="1:7">
      <c r="A292">
        <v>2022</v>
      </c>
      <c r="B292">
        <v>3.9410000000000001E-2</v>
      </c>
      <c r="C292">
        <v>8.3099999999999997E-3</v>
      </c>
      <c r="D292">
        <v>9.1565516705918878E-2</v>
      </c>
      <c r="E292">
        <v>2.5352826840192668E-3</v>
      </c>
      <c r="F292">
        <v>4.7050399694969082E-2</v>
      </c>
      <c r="G292" t="s">
        <v>36</v>
      </c>
    </row>
    <row r="293" spans="1:7">
      <c r="A293">
        <v>2022</v>
      </c>
      <c r="B293">
        <v>3.9410000000000001E-2</v>
      </c>
      <c r="C293">
        <v>1.374E-2</v>
      </c>
      <c r="D293">
        <v>9.1565516705918878E-2</v>
      </c>
      <c r="E293">
        <v>8.2713597566128616E-3</v>
      </c>
      <c r="F293">
        <v>4.991843823126587E-2</v>
      </c>
      <c r="G293" t="s">
        <v>36</v>
      </c>
    </row>
    <row r="294" spans="1:7">
      <c r="A294">
        <v>2022</v>
      </c>
      <c r="B294">
        <v>3.9410000000000001E-2</v>
      </c>
      <c r="C294">
        <v>8.1499999999999993E-3</v>
      </c>
      <c r="D294">
        <v>9.1565516705918878E-2</v>
      </c>
      <c r="E294">
        <v>2.3662638384179821E-3</v>
      </c>
      <c r="F294">
        <v>4.696589027216843E-2</v>
      </c>
      <c r="G294" t="s">
        <v>36</v>
      </c>
    </row>
    <row r="295" spans="1:7">
      <c r="A295">
        <v>2022</v>
      </c>
      <c r="B295">
        <v>3.9410000000000001E-2</v>
      </c>
      <c r="C295">
        <v>1.422E-2</v>
      </c>
      <c r="D295">
        <v>9.1565516705918878E-2</v>
      </c>
      <c r="E295">
        <v>8.7784162934167152E-3</v>
      </c>
      <c r="F295">
        <v>5.0171966499667799E-2</v>
      </c>
      <c r="G295" t="s">
        <v>36</v>
      </c>
    </row>
    <row r="296" spans="1:7">
      <c r="A296">
        <v>2022</v>
      </c>
      <c r="B296">
        <v>0.20333999999999999</v>
      </c>
      <c r="C296">
        <v>0.93737000000000004</v>
      </c>
      <c r="D296">
        <v>0.51582597893320214</v>
      </c>
      <c r="E296">
        <v>0.98396433702357822</v>
      </c>
      <c r="F296">
        <v>0.74989515797839013</v>
      </c>
      <c r="G296" t="s">
        <v>44</v>
      </c>
    </row>
    <row r="297" spans="1:7">
      <c r="A297">
        <v>2022</v>
      </c>
      <c r="B297">
        <v>0.20333999999999999</v>
      </c>
      <c r="C297">
        <v>0.10577</v>
      </c>
      <c r="D297">
        <v>0.51582597893320214</v>
      </c>
      <c r="E297">
        <v>0.1054888870109017</v>
      </c>
      <c r="F297">
        <v>0.31065743297205201</v>
      </c>
      <c r="G297" t="s">
        <v>34</v>
      </c>
    </row>
    <row r="298" spans="1:7">
      <c r="A298">
        <v>2022</v>
      </c>
      <c r="B298">
        <v>0.20333999999999999</v>
      </c>
      <c r="C298">
        <v>8.3099999999999997E-3</v>
      </c>
      <c r="D298">
        <v>0.51582597893320214</v>
      </c>
      <c r="E298">
        <v>2.5352826840192668E-3</v>
      </c>
      <c r="F298">
        <v>0.2591806308086107</v>
      </c>
      <c r="G298" t="s">
        <v>34</v>
      </c>
    </row>
    <row r="299" spans="1:7">
      <c r="A299">
        <v>2022</v>
      </c>
      <c r="B299">
        <v>0.20333999999999999</v>
      </c>
      <c r="C299">
        <v>1.374E-2</v>
      </c>
      <c r="D299">
        <v>0.51582597893320214</v>
      </c>
      <c r="E299">
        <v>8.2713597566128616E-3</v>
      </c>
      <c r="F299">
        <v>0.2620486693449075</v>
      </c>
      <c r="G299" t="s">
        <v>34</v>
      </c>
    </row>
    <row r="300" spans="1:7">
      <c r="A300">
        <v>2022</v>
      </c>
      <c r="B300">
        <v>0.20333999999999999</v>
      </c>
      <c r="C300">
        <v>8.1499999999999993E-3</v>
      </c>
      <c r="D300">
        <v>0.51582597893320214</v>
      </c>
      <c r="E300">
        <v>2.3662638384179821E-3</v>
      </c>
      <c r="F300">
        <v>0.25909612138581012</v>
      </c>
      <c r="G300" t="s">
        <v>34</v>
      </c>
    </row>
    <row r="301" spans="1:7">
      <c r="A301">
        <v>2022</v>
      </c>
      <c r="B301">
        <v>0.20333999999999999</v>
      </c>
      <c r="C301">
        <v>1.422E-2</v>
      </c>
      <c r="D301">
        <v>0.51582597893320214</v>
      </c>
      <c r="E301">
        <v>8.7784162934167152E-3</v>
      </c>
      <c r="F301">
        <v>0.26230219761330942</v>
      </c>
      <c r="G301" t="s">
        <v>34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data</vt:lpstr>
      <vt:lpstr>점수</vt:lpstr>
      <vt:lpstr>정규화</vt:lpstr>
      <vt:lpstr>root</vt:lpstr>
      <vt:lpstr>ver1</vt:lpstr>
      <vt:lpstr>normalized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HyunJeong Sim</dc:creator>
  <cp:lastModifiedBy>HyunJeong Sim</cp:lastModifiedBy>
  <dcterms:created xsi:type="dcterms:W3CDTF">2024-11-01T08:07:07Z</dcterms:created>
  <dcterms:modified xsi:type="dcterms:W3CDTF">2024-11-20T09:32:07Z</dcterms:modified>
</cp:coreProperties>
</file>